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F_BACKLOG_EXPORT_10_11.xls" sheetId="1" r:id="rId4"/>
  </sheets>
  <definedNames>
    <definedName hidden="1" localSheetId="0" name="_xlnm._FilterDatabase">SSF_BACKLOG_EXPORT_10_11.xls!$A$4:$I$95</definedName>
  </definedNames>
  <calcPr/>
  <extLst>
    <ext uri="GoogleSheetsCustomDataVersion2">
      <go:sheetsCustomData xmlns:go="http://customooxmlschemas.google.com/" r:id="rId5" roundtripDataChecksum="r86XtC4NhqjvCltGBACNkGZJQu7aoXbnc13MgnpMKVc="/>
    </ext>
  </extLst>
</workbook>
</file>

<file path=xl/sharedStrings.xml><?xml version="1.0" encoding="utf-8"?>
<sst xmlns="http://schemas.openxmlformats.org/spreadsheetml/2006/main" count="1094" uniqueCount="400">
  <si>
    <t>issueKey</t>
  </si>
  <si>
    <t>summary</t>
  </si>
  <si>
    <t>jiraUrl</t>
  </si>
  <si>
    <t>Filtered issueKey</t>
  </si>
  <si>
    <t>Filtered Summary</t>
  </si>
  <si>
    <t>Filtered JiraUrl</t>
  </si>
  <si>
    <t>CITnet Jira</t>
  </si>
  <si>
    <t>SSF-84</t>
  </si>
  <si>
    <t>SSF-99</t>
  </si>
  <si>
    <t>Tech Requirements</t>
  </si>
  <si>
    <t>https://citnet.tech.ec.europa.eu/CITnet/jira/browse/SSF-84</t>
  </si>
  <si>
    <t>Displaying 91 issues at 10/Nov/25 17:59.</t>
  </si>
  <si>
    <t>SSF-97</t>
  </si>
  <si>
    <t>SSF-98</t>
  </si>
  <si>
    <t>Infra</t>
  </si>
  <si>
    <t>https://citnet.tech.ec.europa.eu/CITnet/jira/browse/SSF-97</t>
  </si>
  <si>
    <t>Issue Type</t>
  </si>
  <si>
    <t>Summary</t>
  </si>
  <si>
    <t>Status</t>
  </si>
  <si>
    <t>Epic Link</t>
  </si>
  <si>
    <t>Story Points</t>
  </si>
  <si>
    <t>Labels</t>
  </si>
  <si>
    <t>Sprint</t>
  </si>
  <si>
    <t>SSF-96</t>
  </si>
  <si>
    <t>SSF-90</t>
  </si>
  <si>
    <t>Login</t>
  </si>
  <si>
    <t>https://citnet.tech.ec.europa.eu/CITnet/jira/browse/SSF-96</t>
  </si>
  <si>
    <t>Story</t>
  </si>
  <si>
    <t>SSF-164</t>
  </si>
  <si>
    <t>[MOB] Routing from the menu to the selected element screen</t>
  </si>
  <si>
    <t>Canceled</t>
  </si>
  <si>
    <t>App Menu</t>
  </si>
  <si>
    <t>Mobile, SSF_MOBILE_APP</t>
  </si>
  <si>
    <t>SSF - PI 01</t>
  </si>
  <si>
    <t>SSF-94</t>
  </si>
  <si>
    <t>SSF-89</t>
  </si>
  <si>
    <t>Home Screen</t>
  </si>
  <si>
    <t>https://citnet.tech.ec.europa.eu/CITnet/jira/browse/SSF-94</t>
  </si>
  <si>
    <t>SSF-163</t>
  </si>
  <si>
    <t>{READY} [MOB] Display the menu</t>
  </si>
  <si>
    <t>Open</t>
  </si>
  <si>
    <t>Mobile, SSF_MOBILE_APP, SSF_PI#02</t>
  </si>
  <si>
    <t>SSF - PI 02</t>
  </si>
  <si>
    <t>SSF-95</t>
  </si>
  <si>
    <t>SSF-88</t>
  </si>
  <si>
    <t>Map Integrations</t>
  </si>
  <si>
    <t>https://citnet.tech.ec.europa.eu/CITnet/jira/browse/SSF-95</t>
  </si>
  <si>
    <t>SSF-182</t>
  </si>
  <si>
    <t>{DEV READY} [BACK] Endpoint to retrieve vessels data from FMC</t>
  </si>
  <si>
    <t>Data Exchange w/FMC</t>
  </si>
  <si>
    <t>SSF_MOBILE_APP</t>
  </si>
  <si>
    <t>PI 01 - EXTRA</t>
  </si>
  <si>
    <t>SSF-86</t>
  </si>
  <si>
    <t>SSF-87</t>
  </si>
  <si>
    <t>Vessel Tracking</t>
  </si>
  <si>
    <t>https://citnet.tech.ec.europa.eu/CITnet/jira/browse/SSF-86</t>
  </si>
  <si>
    <t>SSF-196</t>
  </si>
  <si>
    <t>[MOB] Catches preference</t>
  </si>
  <si>
    <t>Departure Declaration</t>
  </si>
  <si>
    <t>SSF-110</t>
  </si>
  <si>
    <t>SSF-85</t>
  </si>
  <si>
    <t>[DG MARE] Gitlab Server</t>
  </si>
  <si>
    <t>https://citnet.tech.ec.europa.eu/CITnet/jira/browse/SSF-110</t>
  </si>
  <si>
    <t>SSF-195</t>
  </si>
  <si>
    <t>[MOB] Declare Catches onboard</t>
  </si>
  <si>
    <t>SSF-111</t>
  </si>
  <si>
    <t>SSF-215</t>
  </si>
  <si>
    <t>[DG MARE] AWS access</t>
  </si>
  <si>
    <t>https://citnet.tech.ec.europa.eu/CITnet/jira/browse/SSF-111</t>
  </si>
  <si>
    <t>SSF-194</t>
  </si>
  <si>
    <t>[MOB] Submit Departure Declaration</t>
  </si>
  <si>
    <t>SSF-112</t>
  </si>
  <si>
    <t>SSF-214</t>
  </si>
  <si>
    <t>[DG MARE] Firebase Project Setup</t>
  </si>
  <si>
    <t>https://citnet.tech.ec.europa.eu/CITnet/jira/browse/SSF-112</t>
  </si>
  <si>
    <t>SSF-193</t>
  </si>
  <si>
    <t>[MOB] Departure Declaration Recap Screen</t>
  </si>
  <si>
    <t>SSF-107</t>
  </si>
  <si>
    <t>SSF-213</t>
  </si>
  <si>
    <t>[MOB] Initiate Mobile App Codebase</t>
  </si>
  <si>
    <t>https://citnet.tech.ec.europa.eu/CITnet/jira/browse/SSF-107</t>
  </si>
  <si>
    <t>SSF-192</t>
  </si>
  <si>
    <t>[BACK] Submit Departure Declaration</t>
  </si>
  <si>
    <t>Backend, SSF_MOBILE_APP, SSF_PI#02</t>
  </si>
  <si>
    <t>SSF-212</t>
  </si>
  <si>
    <t>[MOB] Mobile App architecture</t>
  </si>
  <si>
    <t>https://citnet.tech.ec.europa.eu/CITnet/jira/browse/SSF-85</t>
  </si>
  <si>
    <t>SSF-191</t>
  </si>
  <si>
    <t>[MOB] Gears onboard</t>
  </si>
  <si>
    <t>SSF-106</t>
  </si>
  <si>
    <t>SSF-211</t>
  </si>
  <si>
    <t>[MOB] Initiate Firebase project with App distribution</t>
  </si>
  <si>
    <t>https://citnet.tech.ec.europa.eu/CITnet/jira/browse/SSF-106</t>
  </si>
  <si>
    <t>SSF-190</t>
  </si>
  <si>
    <t>[BACK] Data import endpoint</t>
  </si>
  <si>
    <t>SSF-116</t>
  </si>
  <si>
    <t>SSF-210</t>
  </si>
  <si>
    <t>[MOB] Implement OIDC Flow (with DPoP)</t>
  </si>
  <si>
    <t>https://citnet.tech.ec.europa.eu/CITnet/jira/browse/SSF-116</t>
  </si>
  <si>
    <t>SSF-189</t>
  </si>
  <si>
    <t>[MOB] Departure Port selection</t>
  </si>
  <si>
    <t>SSF-115</t>
  </si>
  <si>
    <t>SSF-209</t>
  </si>
  <si>
    <t>[MOB] Landing Page with Login button</t>
  </si>
  <si>
    <t>https://citnet.tech.ec.europa.eu/CITnet/jira/browse/SSF-115</t>
  </si>
  <si>
    <t>SSF-140</t>
  </si>
  <si>
    <t>[MOB] Vessel's Empty Gear Management Screen</t>
  </si>
  <si>
    <t>Ready</t>
  </si>
  <si>
    <t>Gear Management</t>
  </si>
  <si>
    <t>SSF-118</t>
  </si>
  <si>
    <t>SSF-208</t>
  </si>
  <si>
    <t>[MOB] Vessel selection screen (Mocked)</t>
  </si>
  <si>
    <t>https://citnet.tech.ec.europa.eu/CITnet/jira/browse/SSF-118</t>
  </si>
  <si>
    <t>SSF-188</t>
  </si>
  <si>
    <t>[MOB] Error Management / Messages</t>
  </si>
  <si>
    <t>SSF_MOBILE_APP, SSF_PI#02, mobile</t>
  </si>
  <si>
    <t>SSF-167</t>
  </si>
  <si>
    <t>SSF-207</t>
  </si>
  <si>
    <t>[MOB] Initialization of internationalization</t>
  </si>
  <si>
    <t>https://citnet.tech.ec.europa.eu/CITnet/jira/browse/SSF-167</t>
  </si>
  <si>
    <t>SSF-152</t>
  </si>
  <si>
    <t>[BACK] Error Management / Security</t>
  </si>
  <si>
    <t>SSF-201</t>
  </si>
  <si>
    <t>SSF-206</t>
  </si>
  <si>
    <t>[MOB] Créer un keystore pour signer l'application Android</t>
  </si>
  <si>
    <t>https://citnet.tech.ec.europa.eu/CITnet/jira/browse/SSF-201</t>
  </si>
  <si>
    <t>SSF-151</t>
  </si>
  <si>
    <t>[BACK] Delete Gear</t>
  </si>
  <si>
    <t>SSF-199</t>
  </si>
  <si>
    <t>SSF-205</t>
  </si>
  <si>
    <t>[MOB] Testers information / Setup</t>
  </si>
  <si>
    <t>https://citnet.tech.ec.europa.eu/CITnet/jira/browse/SSF-199</t>
  </si>
  <si>
    <t>SSF-150</t>
  </si>
  <si>
    <t>[BACK] Edit Gear</t>
  </si>
  <si>
    <t>SSF-113</t>
  </si>
  <si>
    <t>SSF-203</t>
  </si>
  <si>
    <t>[DG MARE] Create Apple Developper Account</t>
  </si>
  <si>
    <t>https://citnet.tech.ec.europa.eu/CITnet/jira/browse/SSF-113</t>
  </si>
  <si>
    <t>SSF-149</t>
  </si>
  <si>
    <t>[BACK] List of vessel's gear - Retrieval</t>
  </si>
  <si>
    <t>SSF-175</t>
  </si>
  <si>
    <t>SSF-202</t>
  </si>
  <si>
    <t>{DEV READY} [MOB] Setup AWS for Login redirect URI (App link, Universal Link)</t>
  </si>
  <si>
    <t>https://citnet.tech.ec.europa.eu/CITnet/jira/browse/SSF-175</t>
  </si>
  <si>
    <t>SSF-148</t>
  </si>
  <si>
    <t>[BACK] List of vessel's gear - New Gear</t>
  </si>
  <si>
    <t>[MOB] Implement Refresh Session</t>
  </si>
  <si>
    <t>https://citnet.tech.ec.europa.eu/CITnet/jira/browse/SSF-203</t>
  </si>
  <si>
    <t>SSF-147</t>
  </si>
  <si>
    <t>[BACK] Register new gear</t>
  </si>
  <si>
    <t>SSF-179</t>
  </si>
  <si>
    <t>SSF-200</t>
  </si>
  <si>
    <t>{DEV READY} [BACK] Swagger setup</t>
  </si>
  <si>
    <t>https://citnet.tech.ec.europa.eu/CITnet/jira/browse/SSF-179</t>
  </si>
  <si>
    <t>SSF-146</t>
  </si>
  <si>
    <t>[MOB] Delete Gear</t>
  </si>
  <si>
    <t>{DEV READY} [MOB] Initiate CI/CD</t>
  </si>
  <si>
    <t>https://citnet.tech.ec.europa.eu/CITnet/jira/browse/SSF-98</t>
  </si>
  <si>
    <t>SSF-145</t>
  </si>
  <si>
    <t>[MOB] Edit Gear</t>
  </si>
  <si>
    <t>{DEV READY} [BACK] Initiate CI/CD</t>
  </si>
  <si>
    <t>https://citnet.tech.ec.europa.eu/CITnet/jira/browse/SSF-99</t>
  </si>
  <si>
    <t>SSF-144</t>
  </si>
  <si>
    <t>[MOB] Vessel's Gear Screen - Gear List</t>
  </si>
  <si>
    <t>SSF-100</t>
  </si>
  <si>
    <t>{DEV READY} [BACK] Infra as Code implementation on AWS (Terraform)</t>
  </si>
  <si>
    <t>https://citnet.tech.ec.europa.eu/CITnet/jira/browse/SSF-100</t>
  </si>
  <si>
    <t>SSF-143</t>
  </si>
  <si>
    <t>[MOB] Register new gear - Gear characteristics</t>
  </si>
  <si>
    <t>SSF - TO REFINE</t>
  </si>
  <si>
    <t>SSF-103</t>
  </si>
  <si>
    <t>{DEV READY} [BACK] Deploy App Server on AWS (Ansible)</t>
  </si>
  <si>
    <t>https://citnet.tech.ec.europa.eu/CITnet/jira/browse/SSF-103</t>
  </si>
  <si>
    <t>SSF-142</t>
  </si>
  <si>
    <t>[MOB] Register new gear - Form submission</t>
  </si>
  <si>
    <t>SSF-104</t>
  </si>
  <si>
    <t>{DEV READY} [BACK] Gitlab CI for Ansible</t>
  </si>
  <si>
    <t>https://citnet.tech.ec.europa.eu/CITnet/jira/browse/SSF-104</t>
  </si>
  <si>
    <t>SSF-141</t>
  </si>
  <si>
    <t>[MOB] Register new gear - Init Creation Form</t>
  </si>
  <si>
    <t>SSF-173</t>
  </si>
  <si>
    <t>[MOB] Home Screen (Mocked)</t>
  </si>
  <si>
    <t>https://citnet.tech.ec.europa.eu/CITnet/jira/browse/SSF-173</t>
  </si>
  <si>
    <t>[BACK] Pending Hauls - GET to retrieve the pending hauls</t>
  </si>
  <si>
    <t>Hauls</t>
  </si>
  <si>
    <t>SSF-93</t>
  </si>
  <si>
    <t>https://citnet.tech.ec.europa.eu/CITnet/jira/browse/SSF-93</t>
  </si>
  <si>
    <t>[BACK] Add Catches - POST / PUT</t>
  </si>
  <si>
    <t>SSF-124</t>
  </si>
  <si>
    <t>Fishing Trips 01 - Creation and start</t>
  </si>
  <si>
    <t>https://citnet.tech.ec.europa.eu/CITnet/jira/browse/SSF-124</t>
  </si>
  <si>
    <t>[BACK] Add Hauls - POST / PUT pour créer un haul</t>
  </si>
  <si>
    <t>Backend, SSF_MOBILE_APP, SSF_PI#01</t>
  </si>
  <si>
    <t>SSF-122</t>
  </si>
  <si>
    <t>https://citnet.tech.ec.europa.eu/CITnet/jira/browse/SSF-122</t>
  </si>
  <si>
    <t>[MOB] Add hauls - Gear haul form screen</t>
  </si>
  <si>
    <t>SSF-123</t>
  </si>
  <si>
    <t>https://citnet.tech.ec.europa.eu/CITnet/jira/browse/SSF-123</t>
  </si>
  <si>
    <t>[MOB]  Add Catches - Form weight, number of individual, size class, discarded</t>
  </si>
  <si>
    <t>SSF-121</t>
  </si>
  <si>
    <t>SSF-187</t>
  </si>
  <si>
    <t>Lost Fishing Gear</t>
  </si>
  <si>
    <t>https://citnet.tech.ec.europa.eu/CITnet/jira/browse/SSF-121</t>
  </si>
  <si>
    <t>[MOB]  Add Catches - Review screen</t>
  </si>
  <si>
    <t>SSF-125</t>
  </si>
  <si>
    <t>SSF-186</t>
  </si>
  <si>
    <t>Logbook</t>
  </si>
  <si>
    <t>https://citnet.tech.ec.europa.eu/CITnet/jira/browse/SSF-125</t>
  </si>
  <si>
    <t>[MOB]  Add Catches - Form for discarded catches (reason, weight etc)</t>
  </si>
  <si>
    <t>SSF-126</t>
  </si>
  <si>
    <t>SSF-185</t>
  </si>
  <si>
    <t>Return to Port Declaration</t>
  </si>
  <si>
    <t>https://citnet.tech.ec.europa.eu/CITnet/jira/browse/SSF-126</t>
  </si>
  <si>
    <t>[MOB] Add catches - Form search species and select</t>
  </si>
  <si>
    <t>SSF-159</t>
  </si>
  <si>
    <t>SSF-184</t>
  </si>
  <si>
    <t>Fishing Trips 02 - Ending and history management</t>
  </si>
  <si>
    <t>https://citnet.tech.ec.europa.eu/CITnet/jira/browse/SSF-159</t>
  </si>
  <si>
    <t>[MOB] Add hauls - Gear set gear selection</t>
  </si>
  <si>
    <t>SSF-127</t>
  </si>
  <si>
    <t>Landing Declaration</t>
  </si>
  <si>
    <t>https://citnet.tech.ec.europa.eu/CITnet/jira/browse/SSF-127</t>
  </si>
  <si>
    <t>[MOB] Add hauls - Gear set map view</t>
  </si>
  <si>
    <t>SSF-128</t>
  </si>
  <si>
    <t>SSF-181</t>
  </si>
  <si>
    <t>Third Party Waters / Effort Zones</t>
  </si>
  <si>
    <t>https://citnet.tech.ec.europa.eu/CITnet/jira/browse/SSF-128</t>
  </si>
  <si>
    <t>[MOB] Hauls screen</t>
  </si>
  <si>
    <t>SSF-129</t>
  </si>
  <si>
    <t>Transhipment</t>
  </si>
  <si>
    <t>https://citnet.tech.ec.europa.eu/CITnet/jira/browse/SSF-129</t>
  </si>
  <si>
    <t>SSF-160</t>
  </si>
  <si>
    <t>[MOB] Fishing Trips Widget</t>
  </si>
  <si>
    <t>SSF-130</t>
  </si>
  <si>
    <t>SSF-178</t>
  </si>
  <si>
    <t>Admin Data</t>
  </si>
  <si>
    <t>https://citnet.tech.ec.europa.eu/CITnet/jira/browse/SSF-130</t>
  </si>
  <si>
    <t>SSF-155</t>
  </si>
  <si>
    <t>{READY} [MOB] Vessel selection quick access</t>
  </si>
  <si>
    <t>SSF-131</t>
  </si>
  <si>
    <t>SSF-177</t>
  </si>
  <si>
    <t>App Parameters</t>
  </si>
  <si>
    <t>https://citnet.tech.ec.europa.eu/CITnet/jira/browse/SSF-131</t>
  </si>
  <si>
    <t>TO UPDATE - [MOB] Session &amp; Network Widget - Reconnection Logic</t>
  </si>
  <si>
    <t>Mobile, SSF_MOBILE_APP, SSF_PI#01</t>
  </si>
  <si>
    <t>SSF-132</t>
  </si>
  <si>
    <t>SSF-176</t>
  </si>
  <si>
    <t>https://citnet.tech.ec.europa.eu/CITnet/jira/browse/SSF-132</t>
  </si>
  <si>
    <t>SSF-134</t>
  </si>
  <si>
    <t>[MOB] Map Screen - Display Vessel's Current trajectory</t>
  </si>
  <si>
    <t>https://citnet.tech.ec.europa.eu/CITnet/jira/browse/SSF-134</t>
  </si>
  <si>
    <t>SSF-153</t>
  </si>
  <si>
    <t>TO UPDATE - [MOB] Session &amp; Network Widget</t>
  </si>
  <si>
    <t>SSF-174</t>
  </si>
  <si>
    <t>https://citnet.tech.ec.europa.eu/CITnet/jira/browse/SSF-155</t>
  </si>
  <si>
    <t>INFRA</t>
  </si>
  <si>
    <t>SSF_MOBILE_APP, SSF_PI#01</t>
  </si>
  <si>
    <t>SSF - 01</t>
  </si>
  <si>
    <t>[MOB] Logout</t>
  </si>
  <si>
    <t>https://citnet.tech.ec.europa.eu/CITnet/jira/browse/SSF-178</t>
  </si>
  <si>
    <t>SSF_MOBILE_APP, SSF_PI#01, backend</t>
  </si>
  <si>
    <t>SSF-169</t>
  </si>
  <si>
    <t>[MOB] Handle multi accounts login (case of ongoing tracking session)</t>
  </si>
  <si>
    <t>https://citnet.tech.ec.europa.eu/CITnet/jira/browse/SSF-177</t>
  </si>
  <si>
    <t>SSF-168</t>
  </si>
  <si>
    <t>[MOB] Language Override</t>
  </si>
  <si>
    <t>https://citnet.tech.ec.europa.eu/CITnet/jira/browse/SSF-168</t>
  </si>
  <si>
    <t>In review</t>
  </si>
  <si>
    <t>https://citnet.tech.ec.europa.eu/CITnet/jira/browse/SSF-160</t>
  </si>
  <si>
    <t>https://citnet.tech.ec.europa.eu/CITnet/jira/browse/SSF-182</t>
  </si>
  <si>
    <t>https://citnet.tech.ec.europa.eu/CITnet/jira/browse/SSF-140</t>
  </si>
  <si>
    <t>[BACK] Languages MDR Ref Data</t>
  </si>
  <si>
    <t>Language Management</t>
  </si>
  <si>
    <t>Backend, SSF_MOBILE_APP</t>
  </si>
  <si>
    <t>https://citnet.tech.ec.europa.eu/CITnet/jira/browse/SSF-141</t>
  </si>
  <si>
    <t>SSF_MOBILE_APP, mobile</t>
  </si>
  <si>
    <t>SSF-158</t>
  </si>
  <si>
    <t>https://citnet.tech.ec.europa.eu/CITnet/jira/browse/SSF-142</t>
  </si>
  <si>
    <t>Done</t>
  </si>
  <si>
    <t>https://citnet.tech.ec.europa.eu/CITnet/jira/browse/SSF-143</t>
  </si>
  <si>
    <t>[MOB] Handle Multiple devices login</t>
  </si>
  <si>
    <t>https://citnet.tech.ec.europa.eu/CITnet/jira/browse/SSF-144</t>
  </si>
  <si>
    <t>{NEEDS DISCUSSION} [MOB] Retrieve user data from Identity Provider</t>
  </si>
  <si>
    <t>https://citnet.tech.ec.europa.eu/CITnet/jira/browse/SSF-145</t>
  </si>
  <si>
    <t>https://citnet.tech.ec.europa.eu/CITnet/jira/browse/SSF-146</t>
  </si>
  <si>
    <t>https://citnet.tech.ec.europa.eu/CITnet/jira/browse/SSF-147</t>
  </si>
  <si>
    <t>https://citnet.tech.ec.europa.eu/CITnet/jira/browse/SSF-148</t>
  </si>
  <si>
    <t>[MOB] Vessel selection screen Errors Management</t>
  </si>
  <si>
    <t>https://citnet.tech.ec.europa.eu/CITnet/jira/browse/SSF-150</t>
  </si>
  <si>
    <t>SSF-120</t>
  </si>
  <si>
    <t>[BACK] Endpoint GET vessels for the user</t>
  </si>
  <si>
    <t>https://citnet.tech.ec.europa.eu/CITnet/jira/browse/SSF-149</t>
  </si>
  <si>
    <t>https://citnet.tech.ec.europa.eu/CITnet/jira/browse/SSF-151</t>
  </si>
  <si>
    <t>https://citnet.tech.ec.europa.eu/CITnet/jira/browse/SSF-152</t>
  </si>
  <si>
    <t>https://citnet.tech.ec.europa.eu/CITnet/jira/browse/SSF-188</t>
  </si>
  <si>
    <t>[MOB] Get Vessels from App Server</t>
  </si>
  <si>
    <t>SSF - 02</t>
  </si>
  <si>
    <t>[BACK] Backend's status Endpoint</t>
  </si>
  <si>
    <t>https://citnet.tech.ec.europa.eu/CITnet/jira/browse/SSF-186</t>
  </si>
  <si>
    <t>SSF-119</t>
  </si>
  <si>
    <t>[BACK] Validate requests from client</t>
  </si>
  <si>
    <t>[BACK] Audit logs generation and storage</t>
  </si>
  <si>
    <t>https://citnet.tech.ec.europa.eu/CITnet/jira/browse/SSF-187</t>
  </si>
  <si>
    <t>SSF-117</t>
  </si>
  <si>
    <t>[MOB] Auto login routing</t>
  </si>
  <si>
    <t>https://citnet.tech.ec.europa.eu/CITnet/jira/browse/SSF-163</t>
  </si>
  <si>
    <t>[MOB] Login Routing - No vessel edge case</t>
  </si>
  <si>
    <t>https://citnet.tech.ec.europa.eu/CITnet/jira/browse/SSF-189</t>
  </si>
  <si>
    <t>Logs</t>
  </si>
  <si>
    <t>SSF-139</t>
  </si>
  <si>
    <t>https://citnet.tech.ec.europa.eu/CITnet/jira/browse/SSF-190</t>
  </si>
  <si>
    <t>SSF-138</t>
  </si>
  <si>
    <t>https://citnet.tech.ec.europa.eu/CITnet/jira/browse/SSF-191</t>
  </si>
  <si>
    <t>[MOB] Display other POI on the map</t>
  </si>
  <si>
    <t>PI 01 - To be challenged</t>
  </si>
  <si>
    <t>SSF-137</t>
  </si>
  <si>
    <t>https://citnet.tech.ec.europa.eu/CITnet/jira/browse/SSF-192</t>
  </si>
  <si>
    <t>[MOB] Display Hauls on the map</t>
  </si>
  <si>
    <t>SSF-136</t>
  </si>
  <si>
    <t>https://citnet.tech.ec.europa.eu/CITnet/jira/browse/SSF-193</t>
  </si>
  <si>
    <t>{READY} [BACK] Map Tiles - Server/Cache/CDN</t>
  </si>
  <si>
    <t>SSF_MOBILE_APP, backend</t>
  </si>
  <si>
    <t>SSF-135</t>
  </si>
  <si>
    <t>https://citnet.tech.ec.europa.eu/CITnet/jira/browse/SSF-194</t>
  </si>
  <si>
    <t>{READY} [MOB] Map Screen - Offline Mode</t>
  </si>
  <si>
    <t>https://citnet.tech.ec.europa.eu/CITnet/jira/browse/SSF-195</t>
  </si>
  <si>
    <t>{NEEDS DISCUSSION} [MOB] Map Screen - Display Open Sea Map Data</t>
  </si>
  <si>
    <t>SSF-133</t>
  </si>
  <si>
    <t>https://citnet.tech.ec.europa.eu/CITnet/jira/browse/SSF-196</t>
  </si>
  <si>
    <t>https://citnet.tech.ec.europa.eu/CITnet/jira/browse/SSF-205</t>
  </si>
  <si>
    <t>[MOB] Map Widget Initialization + Current position Display</t>
  </si>
  <si>
    <t>https://citnet.tech.ec.europa.eu/CITnet/jira/browse/SSF-206</t>
  </si>
  <si>
    <t>[MOB] Tech : Ajouter Crashlytics</t>
  </si>
  <si>
    <t>TECH REQUIREMENTS</t>
  </si>
  <si>
    <t>https://citnet.tech.ec.europa.eu/CITnet/jira/browse/SSF-207</t>
  </si>
  <si>
    <t>To Deploy</t>
  </si>
  <si>
    <t>https://citnet.tech.ec.europa.eu/CITnet/jira/browse/SSF-208</t>
  </si>
  <si>
    <t>[MOB] Add Catches - Form for discarded catches (reason, weight etc)</t>
  </si>
  <si>
    <t>https://citnet.tech.ec.europa.eu/CITnet/jira/browse/SSF-209</t>
  </si>
  <si>
    <t>DG_MARE_ACTION, SSF_MOBILE_APP, SSF_PI#01</t>
  </si>
  <si>
    <t>[MOB] Add Catches - Review screen</t>
  </si>
  <si>
    <t>https://citnet.tech.ec.europa.eu/CITnet/jira/browse/SSF-210</t>
  </si>
  <si>
    <t>[MOB] Add Catches - Form weight, number of individual, size class, discarded</t>
  </si>
  <si>
    <t>https://citnet.tech.ec.europa.eu/CITnet/jira/browse/SSF-211</t>
  </si>
  <si>
    <t>https://citnet.tech.ec.europa.eu/CITnet/jira/browse/SSF-212</t>
  </si>
  <si>
    <t>SSF-109</t>
  </si>
  <si>
    <t>[BACK] App Server architecture</t>
  </si>
  <si>
    <t>https://citnet.tech.ec.europa.eu/CITnet/jira/browse/SSF-213</t>
  </si>
  <si>
    <t>SSF-108</t>
  </si>
  <si>
    <t>[BACK] Initiate App Server Codebase</t>
  </si>
  <si>
    <t>In Progress</t>
  </si>
  <si>
    <t>https://citnet.tech.ec.europa.eu/CITnet/jira/browse/SSF-214</t>
  </si>
  <si>
    <t>SSF_MOBILE_APP, SSF_PI#01, mobile</t>
  </si>
  <si>
    <t>https://citnet.tech.ec.europa.eu/CITnet/jira/browse/SSF-215</t>
  </si>
  <si>
    <t>SSF-162</t>
  </si>
  <si>
    <t>https://citnet.tech.ec.europa.eu/CITnet/jira/browse/SSF-162</t>
  </si>
  <si>
    <t>MOBILE, SSF_MOBILE_APP, SSF_PI#01</t>
  </si>
  <si>
    <t>https://citnet.tech.ec.europa.eu/CITnet/jira/browse/SSF-164</t>
  </si>
  <si>
    <t>SSF-165</t>
  </si>
  <si>
    <t>https://citnet.tech.ec.europa.eu/CITnet/jira/browse/SSF-165</t>
  </si>
  <si>
    <t>DG_MARE_ACTION, SSF_MOBILE_APP</t>
  </si>
  <si>
    <t>SSF-166</t>
  </si>
  <si>
    <t>https://citnet.tech.ec.europa.eu/CITnet/jira/browse/SSF-166</t>
  </si>
  <si>
    <t>[MOB] Location services authorization request</t>
  </si>
  <si>
    <t>SSF-170</t>
  </si>
  <si>
    <t>User Profile</t>
  </si>
  <si>
    <t>https://citnet.tech.ec.europa.eu/CITnet/jira/browse/SSF-170</t>
  </si>
  <si>
    <t>[MOB] Send tracking records</t>
  </si>
  <si>
    <t>SSF-171</t>
  </si>
  <si>
    <t>Vessel Profile</t>
  </si>
  <si>
    <t>https://citnet.tech.ec.europa.eu/CITnet/jira/browse/SSF-171</t>
  </si>
  <si>
    <t>[BACK] Receive Vessel tracking Data</t>
  </si>
  <si>
    <t>https://citnet.tech.ec.europa.eu/CITnet/jira/browse/SSF-176</t>
  </si>
  <si>
    <t>[MOB] Tracking Records</t>
  </si>
  <si>
    <t>[MOB] Geolocation Widget</t>
  </si>
  <si>
    <t>https://citnet.tech.ec.europa.eu/CITnet/jira/browse/SSF-87</t>
  </si>
  <si>
    <t>https://citnet.tech.ec.europa.eu/CITnet/jira/browse/SSF-88</t>
  </si>
  <si>
    <t>Generated at Mon Nov 10 17:59:09 CET 2025 by PALAZZO Nicolas using Jira 9.12.10#9120010-sha1:3b20ee34958dbedd3d6f3418ef74b9ccb7acf6ef.</t>
  </si>
  <si>
    <t>https://citnet.tech.ec.europa.eu/CITnet/jira/browse/SSF-89</t>
  </si>
  <si>
    <t>https://citnet.tech.ec.europa.eu/CITnet/jira/browse/SSF-90</t>
  </si>
  <si>
    <t>https://citnet.tech.ec.europa.eu/CITnet/jira/browse/SSF-158</t>
  </si>
  <si>
    <t>https://citnet.tech.ec.europa.eu/CITnet/jira/browse/SSF-133</t>
  </si>
  <si>
    <t>https://citnet.tech.ec.europa.eu/CITnet/jira/browse/SSF-153</t>
  </si>
  <si>
    <t>https://citnet.tech.ec.europa.eu/CITnet/jira/browse/SSF-184</t>
  </si>
  <si>
    <t>https://citnet.tech.ec.europa.eu/CITnet/jira/browse/SSF-117</t>
  </si>
  <si>
    <t>https://citnet.tech.ec.europa.eu/CITnet/jira/browse/SSF-174</t>
  </si>
  <si>
    <t>https://citnet.tech.ec.europa.eu/CITnet/jira/browse/SSF-119</t>
  </si>
  <si>
    <t>https://citnet.tech.ec.europa.eu/CITnet/jira/browse/SSF-181</t>
  </si>
  <si>
    <t>https://citnet.tech.ec.europa.eu/CITnet/jira/browse/SSF-185</t>
  </si>
  <si>
    <t>https://citnet.tech.ec.europa.eu/CITnet/jira/browse/SSF-169</t>
  </si>
  <si>
    <t>https://citnet.tech.ec.europa.eu/CITnet/jira/browse/SSF-137</t>
  </si>
  <si>
    <t>https://citnet.tech.ec.europa.eu/CITnet/jira/browse/SSF-135</t>
  </si>
  <si>
    <t>https://citnet.tech.ec.europa.eu/CITnet/jira/browse/SSF-138</t>
  </si>
  <si>
    <t>https://citnet.tech.ec.europa.eu/CITnet/jira/browse/SSF-139</t>
  </si>
  <si>
    <t>https://citnet.tech.ec.europa.eu/CITnet/jira/browse/SSF-136</t>
  </si>
  <si>
    <t>https://citnet.tech.ec.europa.eu/CITnet/jira/browse/SSF-200</t>
  </si>
  <si>
    <t>https://citnet.tech.ec.europa.eu/CITnet/jira/browse/SSF-202</t>
  </si>
  <si>
    <t>https://citnet.tech.ec.europa.eu/CITnet/jira/browse/SSF-108</t>
  </si>
  <si>
    <t>https://citnet.tech.ec.europa.eu/CITnet/jira/browse/SSF-109</t>
  </si>
  <si>
    <t>https://citnet.tech.ec.europa.eu/CITnet/jira/browse/SSF-120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</si>
</sst>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414244"/>
      <name val="InterVariable"/>
    </font>
    <font>
      <b/>
      <color theme="1"/>
      <name val="Arial"/>
      <scheme val="minor"/>
    </font>
    <font>
      <sz val="9.0"/>
      <color rgb="FF71747A"/>
      <name val="InterVariable"/>
    </font>
    <font>
      <u/>
      <sz val="9.0"/>
      <color rgb="FF71747A"/>
      <name val="InterVariable"/>
    </font>
    <font>
      <u/>
      <color rgb="FF0000FF"/>
    </font>
    <font>
      <sz val="8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747A6"/>
        <bgColor rgb="FF0747A6"/>
      </patternFill>
    </fill>
    <fill>
      <patternFill patternType="solid">
        <fgColor rgb="FFDDDDDD"/>
        <bgColor rgb="FFDDDDDD"/>
      </patternFill>
    </fill>
  </fills>
  <borders count="4">
    <border/>
    <border>
      <left style="thin">
        <color rgb="FFD9DEE8"/>
      </left>
      <top style="thin">
        <color rgb="FFD9DEE8"/>
      </top>
      <bottom style="thin">
        <color rgb="FFD9DEE8"/>
      </bottom>
    </border>
    <border>
      <left style="thin">
        <color rgb="FFD9DEE8"/>
      </left>
      <bottom style="thin">
        <color rgb="FFD9DEE8"/>
      </bottom>
    </border>
    <border>
      <left style="thin">
        <color rgb="FFD9DEE8"/>
      </lef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1" fillId="0" fontId="2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top"/>
    </xf>
    <xf borderId="2" fillId="0" fontId="4" numFmtId="0" xfId="0" applyAlignment="1" applyBorder="1" applyFont="1">
      <alignment horizontal="left" readingOrder="0" shrinkToFit="0" vertical="top" wrapText="1"/>
    </xf>
    <xf borderId="2" fillId="0" fontId="5" numFmtId="0" xfId="0" applyAlignment="1" applyBorder="1" applyFont="1">
      <alignment horizontal="left" readingOrder="0" shrinkToFit="0" vertical="top" wrapText="1"/>
    </xf>
    <xf borderId="0" fillId="0" fontId="1" numFmtId="0" xfId="0" applyFont="1"/>
    <xf borderId="0" fillId="0" fontId="3" numFmtId="0" xfId="0" applyAlignment="1" applyFont="1">
      <alignment horizontal="center"/>
    </xf>
    <xf borderId="0" fillId="0" fontId="6" numFmtId="0" xfId="0" applyFont="1"/>
    <xf borderId="0" fillId="0" fontId="1" numFmtId="0" xfId="0" applyAlignment="1" applyFont="1">
      <alignment vertical="top"/>
    </xf>
    <xf borderId="0" fillId="3" fontId="7" numFmtId="0" xfId="0" applyAlignment="1" applyFill="1" applyFont="1">
      <alignment vertical="top"/>
    </xf>
    <xf borderId="3" fillId="0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itnet.tech.ec.europa.eu/CITnet/jira/browse/SSF-130" TargetMode="External"/><Relationship Id="rId42" Type="http://schemas.openxmlformats.org/officeDocument/2006/relationships/hyperlink" Target="https://citnet.tech.ec.europa.eu/CITnet/jira/browse/SSF-132" TargetMode="External"/><Relationship Id="rId41" Type="http://schemas.openxmlformats.org/officeDocument/2006/relationships/hyperlink" Target="https://citnet.tech.ec.europa.eu/CITnet/jira/browse/SSF-131" TargetMode="External"/><Relationship Id="rId44" Type="http://schemas.openxmlformats.org/officeDocument/2006/relationships/hyperlink" Target="https://citnet.tech.ec.europa.eu/CITnet/jira/browse/SSF-155" TargetMode="External"/><Relationship Id="rId43" Type="http://schemas.openxmlformats.org/officeDocument/2006/relationships/hyperlink" Target="https://citnet.tech.ec.europa.eu/CITnet/jira/browse/SSF-134" TargetMode="External"/><Relationship Id="rId46" Type="http://schemas.openxmlformats.org/officeDocument/2006/relationships/hyperlink" Target="https://citnet.tech.ec.europa.eu/CITnet/jira/browse/SSF-177" TargetMode="External"/><Relationship Id="rId45" Type="http://schemas.openxmlformats.org/officeDocument/2006/relationships/hyperlink" Target="https://citnet.tech.ec.europa.eu/CITnet/jira/browse/SSF-178" TargetMode="External"/><Relationship Id="rId107" Type="http://schemas.openxmlformats.org/officeDocument/2006/relationships/hyperlink" Target="https://citnet.tech.ec.europa.eu/CITnet/jira/browse/SSF-137" TargetMode="External"/><Relationship Id="rId106" Type="http://schemas.openxmlformats.org/officeDocument/2006/relationships/hyperlink" Target="https://citnet.tech.ec.europa.eu/CITnet/jira/browse/SSF-169" TargetMode="External"/><Relationship Id="rId105" Type="http://schemas.openxmlformats.org/officeDocument/2006/relationships/hyperlink" Target="https://citnet.tech.ec.europa.eu/CITnet/jira/browse/SSF-185" TargetMode="External"/><Relationship Id="rId104" Type="http://schemas.openxmlformats.org/officeDocument/2006/relationships/hyperlink" Target="https://citnet.tech.ec.europa.eu/CITnet/jira/browse/SSF-181" TargetMode="External"/><Relationship Id="rId109" Type="http://schemas.openxmlformats.org/officeDocument/2006/relationships/hyperlink" Target="https://citnet.tech.ec.europa.eu/CITnet/jira/browse/SSF-138" TargetMode="External"/><Relationship Id="rId108" Type="http://schemas.openxmlformats.org/officeDocument/2006/relationships/hyperlink" Target="https://citnet.tech.ec.europa.eu/CITnet/jira/browse/SSF-135" TargetMode="External"/><Relationship Id="rId48" Type="http://schemas.openxmlformats.org/officeDocument/2006/relationships/hyperlink" Target="https://citnet.tech.ec.europa.eu/CITnet/jira/browse/SSF-160" TargetMode="External"/><Relationship Id="rId47" Type="http://schemas.openxmlformats.org/officeDocument/2006/relationships/hyperlink" Target="https://citnet.tech.ec.europa.eu/CITnet/jira/browse/SSF-168" TargetMode="External"/><Relationship Id="rId49" Type="http://schemas.openxmlformats.org/officeDocument/2006/relationships/hyperlink" Target="https://citnet.tech.ec.europa.eu/CITnet/jira/browse/SSF-182" TargetMode="External"/><Relationship Id="rId103" Type="http://schemas.openxmlformats.org/officeDocument/2006/relationships/hyperlink" Target="https://citnet.tech.ec.europa.eu/CITnet/jira/browse/SSF-119" TargetMode="External"/><Relationship Id="rId102" Type="http://schemas.openxmlformats.org/officeDocument/2006/relationships/hyperlink" Target="https://citnet.tech.ec.europa.eu/CITnet/jira/browse/SSF-174" TargetMode="External"/><Relationship Id="rId101" Type="http://schemas.openxmlformats.org/officeDocument/2006/relationships/hyperlink" Target="https://citnet.tech.ec.europa.eu/CITnet/jira/browse/SSF-117" TargetMode="External"/><Relationship Id="rId100" Type="http://schemas.openxmlformats.org/officeDocument/2006/relationships/hyperlink" Target="https://citnet.tech.ec.europa.eu/CITnet/jira/browse/SSF-184" TargetMode="External"/><Relationship Id="rId31" Type="http://schemas.openxmlformats.org/officeDocument/2006/relationships/hyperlink" Target="https://citnet.tech.ec.europa.eu/CITnet/jira/browse/SSF-122" TargetMode="External"/><Relationship Id="rId30" Type="http://schemas.openxmlformats.org/officeDocument/2006/relationships/hyperlink" Target="https://citnet.tech.ec.europa.eu/CITnet/jira/browse/SSF-124" TargetMode="External"/><Relationship Id="rId33" Type="http://schemas.openxmlformats.org/officeDocument/2006/relationships/hyperlink" Target="https://citnet.tech.ec.europa.eu/CITnet/jira/browse/SSF-121" TargetMode="External"/><Relationship Id="rId32" Type="http://schemas.openxmlformats.org/officeDocument/2006/relationships/hyperlink" Target="https://citnet.tech.ec.europa.eu/CITnet/jira/browse/SSF-123" TargetMode="External"/><Relationship Id="rId35" Type="http://schemas.openxmlformats.org/officeDocument/2006/relationships/hyperlink" Target="https://citnet.tech.ec.europa.eu/CITnet/jira/browse/SSF-126" TargetMode="External"/><Relationship Id="rId34" Type="http://schemas.openxmlformats.org/officeDocument/2006/relationships/hyperlink" Target="https://citnet.tech.ec.europa.eu/CITnet/jira/browse/SSF-125" TargetMode="External"/><Relationship Id="rId37" Type="http://schemas.openxmlformats.org/officeDocument/2006/relationships/hyperlink" Target="https://citnet.tech.ec.europa.eu/CITnet/jira/browse/SSF-127" TargetMode="External"/><Relationship Id="rId36" Type="http://schemas.openxmlformats.org/officeDocument/2006/relationships/hyperlink" Target="https://citnet.tech.ec.europa.eu/CITnet/jira/browse/SSF-159" TargetMode="External"/><Relationship Id="rId39" Type="http://schemas.openxmlformats.org/officeDocument/2006/relationships/hyperlink" Target="https://citnet.tech.ec.europa.eu/CITnet/jira/browse/SSF-129" TargetMode="External"/><Relationship Id="rId38" Type="http://schemas.openxmlformats.org/officeDocument/2006/relationships/hyperlink" Target="https://citnet.tech.ec.europa.eu/CITnet/jira/browse/SSF-128" TargetMode="External"/><Relationship Id="rId20" Type="http://schemas.openxmlformats.org/officeDocument/2006/relationships/hyperlink" Target="https://citnet.tech.ec.europa.eu/CITnet/jira/browse/SSF-175" TargetMode="External"/><Relationship Id="rId22" Type="http://schemas.openxmlformats.org/officeDocument/2006/relationships/hyperlink" Target="https://citnet.tech.ec.europa.eu/CITnet/jira/browse/SSF-179" TargetMode="External"/><Relationship Id="rId21" Type="http://schemas.openxmlformats.org/officeDocument/2006/relationships/hyperlink" Target="https://citnet.tech.ec.europa.eu/CITnet/jira/browse/SSF-203" TargetMode="External"/><Relationship Id="rId24" Type="http://schemas.openxmlformats.org/officeDocument/2006/relationships/hyperlink" Target="https://citnet.tech.ec.europa.eu/CITnet/jira/browse/SSF-99" TargetMode="External"/><Relationship Id="rId23" Type="http://schemas.openxmlformats.org/officeDocument/2006/relationships/hyperlink" Target="https://citnet.tech.ec.europa.eu/CITnet/jira/browse/SSF-98" TargetMode="External"/><Relationship Id="rId26" Type="http://schemas.openxmlformats.org/officeDocument/2006/relationships/hyperlink" Target="https://citnet.tech.ec.europa.eu/CITnet/jira/browse/SSF-103" TargetMode="External"/><Relationship Id="rId25" Type="http://schemas.openxmlformats.org/officeDocument/2006/relationships/hyperlink" Target="https://citnet.tech.ec.europa.eu/CITnet/jira/browse/SSF-100" TargetMode="External"/><Relationship Id="rId28" Type="http://schemas.openxmlformats.org/officeDocument/2006/relationships/hyperlink" Target="https://citnet.tech.ec.europa.eu/CITnet/jira/browse/SSF-173" TargetMode="External"/><Relationship Id="rId27" Type="http://schemas.openxmlformats.org/officeDocument/2006/relationships/hyperlink" Target="https://citnet.tech.ec.europa.eu/CITnet/jira/browse/SSF-104" TargetMode="External"/><Relationship Id="rId29" Type="http://schemas.openxmlformats.org/officeDocument/2006/relationships/hyperlink" Target="https://citnet.tech.ec.europa.eu/CITnet/jira/browse/SSF-93" TargetMode="External"/><Relationship Id="rId95" Type="http://schemas.openxmlformats.org/officeDocument/2006/relationships/hyperlink" Target="https://citnet.tech.ec.europa.eu/CITnet/jira/browse/SSF-89" TargetMode="External"/><Relationship Id="rId94" Type="http://schemas.openxmlformats.org/officeDocument/2006/relationships/hyperlink" Target="https://citnet.tech.ec.europa.eu/CITnet/jira/browse/SSF-88" TargetMode="External"/><Relationship Id="rId97" Type="http://schemas.openxmlformats.org/officeDocument/2006/relationships/hyperlink" Target="https://citnet.tech.ec.europa.eu/CITnet/jira/browse/SSF-158" TargetMode="External"/><Relationship Id="rId96" Type="http://schemas.openxmlformats.org/officeDocument/2006/relationships/hyperlink" Target="https://citnet.tech.ec.europa.eu/CITnet/jira/browse/SSF-90" TargetMode="External"/><Relationship Id="rId11" Type="http://schemas.openxmlformats.org/officeDocument/2006/relationships/hyperlink" Target="https://citnet.tech.ec.europa.eu/CITnet/jira/browse/SSF-85" TargetMode="External"/><Relationship Id="rId99" Type="http://schemas.openxmlformats.org/officeDocument/2006/relationships/hyperlink" Target="https://citnet.tech.ec.europa.eu/CITnet/jira/browse/SSF-153" TargetMode="External"/><Relationship Id="rId10" Type="http://schemas.openxmlformats.org/officeDocument/2006/relationships/hyperlink" Target="https://citnet.tech.ec.europa.eu/CITnet/jira/browse/SSF-107" TargetMode="External"/><Relationship Id="rId98" Type="http://schemas.openxmlformats.org/officeDocument/2006/relationships/hyperlink" Target="https://citnet.tech.ec.europa.eu/CITnet/jira/browse/SSF-133" TargetMode="External"/><Relationship Id="rId13" Type="http://schemas.openxmlformats.org/officeDocument/2006/relationships/hyperlink" Target="https://citnet.tech.ec.europa.eu/CITnet/jira/browse/SSF-116" TargetMode="External"/><Relationship Id="rId12" Type="http://schemas.openxmlformats.org/officeDocument/2006/relationships/hyperlink" Target="https://citnet.tech.ec.europa.eu/CITnet/jira/browse/SSF-106" TargetMode="External"/><Relationship Id="rId91" Type="http://schemas.openxmlformats.org/officeDocument/2006/relationships/hyperlink" Target="https://citnet.tech.ec.europa.eu/CITnet/jira/browse/SSF-171" TargetMode="External"/><Relationship Id="rId90" Type="http://schemas.openxmlformats.org/officeDocument/2006/relationships/hyperlink" Target="https://citnet.tech.ec.europa.eu/CITnet/jira/browse/SSF-170" TargetMode="External"/><Relationship Id="rId93" Type="http://schemas.openxmlformats.org/officeDocument/2006/relationships/hyperlink" Target="https://citnet.tech.ec.europa.eu/CITnet/jira/browse/SSF-87" TargetMode="External"/><Relationship Id="rId92" Type="http://schemas.openxmlformats.org/officeDocument/2006/relationships/hyperlink" Target="https://citnet.tech.ec.europa.eu/CITnet/jira/browse/SSF-176" TargetMode="External"/><Relationship Id="rId117" Type="http://schemas.openxmlformats.org/officeDocument/2006/relationships/drawing" Target="../drawings/drawing1.xml"/><Relationship Id="rId116" Type="http://schemas.openxmlformats.org/officeDocument/2006/relationships/hyperlink" Target="https://citnet.tech.ec.europa.eu/CITnet/jira/browse/SSF-120" TargetMode="External"/><Relationship Id="rId115" Type="http://schemas.openxmlformats.org/officeDocument/2006/relationships/hyperlink" Target="https://citnet.tech.ec.europa.eu/CITnet/jira/browse/SSF-109" TargetMode="External"/><Relationship Id="rId15" Type="http://schemas.openxmlformats.org/officeDocument/2006/relationships/hyperlink" Target="https://citnet.tech.ec.europa.eu/CITnet/jira/browse/SSF-118" TargetMode="External"/><Relationship Id="rId110" Type="http://schemas.openxmlformats.org/officeDocument/2006/relationships/hyperlink" Target="https://citnet.tech.ec.europa.eu/CITnet/jira/browse/SSF-139" TargetMode="External"/><Relationship Id="rId14" Type="http://schemas.openxmlformats.org/officeDocument/2006/relationships/hyperlink" Target="https://citnet.tech.ec.europa.eu/CITnet/jira/browse/SSF-115" TargetMode="External"/><Relationship Id="rId17" Type="http://schemas.openxmlformats.org/officeDocument/2006/relationships/hyperlink" Target="https://citnet.tech.ec.europa.eu/CITnet/jira/browse/SSF-201" TargetMode="External"/><Relationship Id="rId16" Type="http://schemas.openxmlformats.org/officeDocument/2006/relationships/hyperlink" Target="https://citnet.tech.ec.europa.eu/CITnet/jira/browse/SSF-167" TargetMode="External"/><Relationship Id="rId19" Type="http://schemas.openxmlformats.org/officeDocument/2006/relationships/hyperlink" Target="https://citnet.tech.ec.europa.eu/CITnet/jira/browse/SSF-113" TargetMode="External"/><Relationship Id="rId114" Type="http://schemas.openxmlformats.org/officeDocument/2006/relationships/hyperlink" Target="https://citnet.tech.ec.europa.eu/CITnet/jira/browse/SSF-108" TargetMode="External"/><Relationship Id="rId18" Type="http://schemas.openxmlformats.org/officeDocument/2006/relationships/hyperlink" Target="https://citnet.tech.ec.europa.eu/CITnet/jira/browse/SSF-199" TargetMode="External"/><Relationship Id="rId113" Type="http://schemas.openxmlformats.org/officeDocument/2006/relationships/hyperlink" Target="https://citnet.tech.ec.europa.eu/CITnet/jira/browse/SSF-202" TargetMode="External"/><Relationship Id="rId112" Type="http://schemas.openxmlformats.org/officeDocument/2006/relationships/hyperlink" Target="https://citnet.tech.ec.europa.eu/CITnet/jira/browse/SSF-200" TargetMode="External"/><Relationship Id="rId111" Type="http://schemas.openxmlformats.org/officeDocument/2006/relationships/hyperlink" Target="https://citnet.tech.ec.europa.eu/CITnet/jira/browse/SSF-136" TargetMode="External"/><Relationship Id="rId84" Type="http://schemas.openxmlformats.org/officeDocument/2006/relationships/hyperlink" Target="https://citnet.tech.ec.europa.eu/CITnet/jira/browse/SSF-214" TargetMode="External"/><Relationship Id="rId83" Type="http://schemas.openxmlformats.org/officeDocument/2006/relationships/hyperlink" Target="https://citnet.tech.ec.europa.eu/CITnet/jira/browse/SSF-213" TargetMode="External"/><Relationship Id="rId86" Type="http://schemas.openxmlformats.org/officeDocument/2006/relationships/hyperlink" Target="https://citnet.tech.ec.europa.eu/CITnet/jira/browse/SSF-162" TargetMode="External"/><Relationship Id="rId85" Type="http://schemas.openxmlformats.org/officeDocument/2006/relationships/hyperlink" Target="https://citnet.tech.ec.europa.eu/CITnet/jira/browse/SSF-215" TargetMode="External"/><Relationship Id="rId88" Type="http://schemas.openxmlformats.org/officeDocument/2006/relationships/hyperlink" Target="https://citnet.tech.ec.europa.eu/CITnet/jira/browse/SSF-165" TargetMode="External"/><Relationship Id="rId87" Type="http://schemas.openxmlformats.org/officeDocument/2006/relationships/hyperlink" Target="https://citnet.tech.ec.europa.eu/CITnet/jira/browse/SSF-164" TargetMode="External"/><Relationship Id="rId89" Type="http://schemas.openxmlformats.org/officeDocument/2006/relationships/hyperlink" Target="https://citnet.tech.ec.europa.eu/CITnet/jira/browse/SSF-166" TargetMode="External"/><Relationship Id="rId80" Type="http://schemas.openxmlformats.org/officeDocument/2006/relationships/hyperlink" Target="https://citnet.tech.ec.europa.eu/CITnet/jira/browse/SSF-210" TargetMode="External"/><Relationship Id="rId82" Type="http://schemas.openxmlformats.org/officeDocument/2006/relationships/hyperlink" Target="https://citnet.tech.ec.europa.eu/CITnet/jira/browse/SSF-212" TargetMode="External"/><Relationship Id="rId81" Type="http://schemas.openxmlformats.org/officeDocument/2006/relationships/hyperlink" Target="https://citnet.tech.ec.europa.eu/CITnet/jira/browse/SSF-211" TargetMode="External"/><Relationship Id="rId1" Type="http://schemas.openxmlformats.org/officeDocument/2006/relationships/hyperlink" Target="https://citnet.tech.ec.europa.eu/CITnet/jira/browse/SSF-84" TargetMode="External"/><Relationship Id="rId2" Type="http://schemas.openxmlformats.org/officeDocument/2006/relationships/hyperlink" Target="https://citnet.tech.ec.europa.eu/CITnet/jira/browse/SSF-97" TargetMode="External"/><Relationship Id="rId3" Type="http://schemas.openxmlformats.org/officeDocument/2006/relationships/hyperlink" Target="https://citnet.tech.ec.europa.eu/CITnet/jira/browse/SSF-96" TargetMode="External"/><Relationship Id="rId4" Type="http://schemas.openxmlformats.org/officeDocument/2006/relationships/hyperlink" Target="https://citnet.tech.ec.europa.eu/CITnet/jira/browse/SSF-94" TargetMode="External"/><Relationship Id="rId9" Type="http://schemas.openxmlformats.org/officeDocument/2006/relationships/hyperlink" Target="https://citnet.tech.ec.europa.eu/CITnet/jira/browse/SSF-112" TargetMode="External"/><Relationship Id="rId5" Type="http://schemas.openxmlformats.org/officeDocument/2006/relationships/hyperlink" Target="https://citnet.tech.ec.europa.eu/CITnet/jira/browse/SSF-95" TargetMode="External"/><Relationship Id="rId6" Type="http://schemas.openxmlformats.org/officeDocument/2006/relationships/hyperlink" Target="https://citnet.tech.ec.europa.eu/CITnet/jira/browse/SSF-86" TargetMode="External"/><Relationship Id="rId7" Type="http://schemas.openxmlformats.org/officeDocument/2006/relationships/hyperlink" Target="https://citnet.tech.ec.europa.eu/CITnet/jira/browse/SSF-110" TargetMode="External"/><Relationship Id="rId8" Type="http://schemas.openxmlformats.org/officeDocument/2006/relationships/hyperlink" Target="https://citnet.tech.ec.europa.eu/CITnet/jira/browse/SSF-111" TargetMode="External"/><Relationship Id="rId73" Type="http://schemas.openxmlformats.org/officeDocument/2006/relationships/hyperlink" Target="https://citnet.tech.ec.europa.eu/CITnet/jira/browse/SSF-195" TargetMode="External"/><Relationship Id="rId72" Type="http://schemas.openxmlformats.org/officeDocument/2006/relationships/hyperlink" Target="https://citnet.tech.ec.europa.eu/CITnet/jira/browse/SSF-194" TargetMode="External"/><Relationship Id="rId75" Type="http://schemas.openxmlformats.org/officeDocument/2006/relationships/hyperlink" Target="https://citnet.tech.ec.europa.eu/CITnet/jira/browse/SSF-205" TargetMode="External"/><Relationship Id="rId74" Type="http://schemas.openxmlformats.org/officeDocument/2006/relationships/hyperlink" Target="https://citnet.tech.ec.europa.eu/CITnet/jira/browse/SSF-196" TargetMode="External"/><Relationship Id="rId77" Type="http://schemas.openxmlformats.org/officeDocument/2006/relationships/hyperlink" Target="https://citnet.tech.ec.europa.eu/CITnet/jira/browse/SSF-207" TargetMode="External"/><Relationship Id="rId76" Type="http://schemas.openxmlformats.org/officeDocument/2006/relationships/hyperlink" Target="https://citnet.tech.ec.europa.eu/CITnet/jira/browse/SSF-206" TargetMode="External"/><Relationship Id="rId79" Type="http://schemas.openxmlformats.org/officeDocument/2006/relationships/hyperlink" Target="https://citnet.tech.ec.europa.eu/CITnet/jira/browse/SSF-209" TargetMode="External"/><Relationship Id="rId78" Type="http://schemas.openxmlformats.org/officeDocument/2006/relationships/hyperlink" Target="https://citnet.tech.ec.europa.eu/CITnet/jira/browse/SSF-208" TargetMode="External"/><Relationship Id="rId71" Type="http://schemas.openxmlformats.org/officeDocument/2006/relationships/hyperlink" Target="https://citnet.tech.ec.europa.eu/CITnet/jira/browse/SSF-193" TargetMode="External"/><Relationship Id="rId70" Type="http://schemas.openxmlformats.org/officeDocument/2006/relationships/hyperlink" Target="https://citnet.tech.ec.europa.eu/CITnet/jira/browse/SSF-192" TargetMode="External"/><Relationship Id="rId62" Type="http://schemas.openxmlformats.org/officeDocument/2006/relationships/hyperlink" Target="https://citnet.tech.ec.europa.eu/CITnet/jira/browse/SSF-152" TargetMode="External"/><Relationship Id="rId61" Type="http://schemas.openxmlformats.org/officeDocument/2006/relationships/hyperlink" Target="https://citnet.tech.ec.europa.eu/CITnet/jira/browse/SSF-151" TargetMode="External"/><Relationship Id="rId64" Type="http://schemas.openxmlformats.org/officeDocument/2006/relationships/hyperlink" Target="https://citnet.tech.ec.europa.eu/CITnet/jira/browse/SSF-186" TargetMode="External"/><Relationship Id="rId63" Type="http://schemas.openxmlformats.org/officeDocument/2006/relationships/hyperlink" Target="https://citnet.tech.ec.europa.eu/CITnet/jira/browse/SSF-188" TargetMode="External"/><Relationship Id="rId66" Type="http://schemas.openxmlformats.org/officeDocument/2006/relationships/hyperlink" Target="https://citnet.tech.ec.europa.eu/CITnet/jira/browse/SSF-163" TargetMode="External"/><Relationship Id="rId65" Type="http://schemas.openxmlformats.org/officeDocument/2006/relationships/hyperlink" Target="https://citnet.tech.ec.europa.eu/CITnet/jira/browse/SSF-187" TargetMode="External"/><Relationship Id="rId68" Type="http://schemas.openxmlformats.org/officeDocument/2006/relationships/hyperlink" Target="https://citnet.tech.ec.europa.eu/CITnet/jira/browse/SSF-190" TargetMode="External"/><Relationship Id="rId67" Type="http://schemas.openxmlformats.org/officeDocument/2006/relationships/hyperlink" Target="https://citnet.tech.ec.europa.eu/CITnet/jira/browse/SSF-189" TargetMode="External"/><Relationship Id="rId60" Type="http://schemas.openxmlformats.org/officeDocument/2006/relationships/hyperlink" Target="https://citnet.tech.ec.europa.eu/CITnet/jira/browse/SSF-149" TargetMode="External"/><Relationship Id="rId69" Type="http://schemas.openxmlformats.org/officeDocument/2006/relationships/hyperlink" Target="https://citnet.tech.ec.europa.eu/CITnet/jira/browse/SSF-191" TargetMode="External"/><Relationship Id="rId51" Type="http://schemas.openxmlformats.org/officeDocument/2006/relationships/hyperlink" Target="https://citnet.tech.ec.europa.eu/CITnet/jira/browse/SSF-141" TargetMode="External"/><Relationship Id="rId50" Type="http://schemas.openxmlformats.org/officeDocument/2006/relationships/hyperlink" Target="https://citnet.tech.ec.europa.eu/CITnet/jira/browse/SSF-140" TargetMode="External"/><Relationship Id="rId53" Type="http://schemas.openxmlformats.org/officeDocument/2006/relationships/hyperlink" Target="https://citnet.tech.ec.europa.eu/CITnet/jira/browse/SSF-143" TargetMode="External"/><Relationship Id="rId52" Type="http://schemas.openxmlformats.org/officeDocument/2006/relationships/hyperlink" Target="https://citnet.tech.ec.europa.eu/CITnet/jira/browse/SSF-142" TargetMode="External"/><Relationship Id="rId55" Type="http://schemas.openxmlformats.org/officeDocument/2006/relationships/hyperlink" Target="https://citnet.tech.ec.europa.eu/CITnet/jira/browse/SSF-145" TargetMode="External"/><Relationship Id="rId54" Type="http://schemas.openxmlformats.org/officeDocument/2006/relationships/hyperlink" Target="https://citnet.tech.ec.europa.eu/CITnet/jira/browse/SSF-144" TargetMode="External"/><Relationship Id="rId57" Type="http://schemas.openxmlformats.org/officeDocument/2006/relationships/hyperlink" Target="https://citnet.tech.ec.europa.eu/CITnet/jira/browse/SSF-147" TargetMode="External"/><Relationship Id="rId56" Type="http://schemas.openxmlformats.org/officeDocument/2006/relationships/hyperlink" Target="https://citnet.tech.ec.europa.eu/CITnet/jira/browse/SSF-146" TargetMode="External"/><Relationship Id="rId59" Type="http://schemas.openxmlformats.org/officeDocument/2006/relationships/hyperlink" Target="https://citnet.tech.ec.europa.eu/CITnet/jira/browse/SSF-150" TargetMode="External"/><Relationship Id="rId58" Type="http://schemas.openxmlformats.org/officeDocument/2006/relationships/hyperlink" Target="https://citnet.tech.ec.europa.eu/CITnet/jira/browse/SSF-1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1.13"/>
    <col customWidth="1" min="6" max="6" width="19.38"/>
    <col customWidth="1" min="8" max="8" width="41.38"/>
    <col customWidth="1" min="9" max="9" width="19.0"/>
    <col customWidth="1" min="19" max="19" width="8.38"/>
    <col customWidth="1" min="20" max="20" width="62.88"/>
    <col customWidth="1" min="21" max="21" width="44.13"/>
    <col customWidth="1" min="22" max="22" width="13.75"/>
    <col customWidth="1" min="23" max="23" width="61.13"/>
    <col customWidth="1" min="24" max="24" width="44.75"/>
  </cols>
  <sheetData>
    <row r="1">
      <c r="A1" s="1"/>
      <c r="R1" s="2" t="s">
        <v>0</v>
      </c>
      <c r="S1" s="3" t="s">
        <v>0</v>
      </c>
      <c r="T1" s="2" t="s">
        <v>1</v>
      </c>
      <c r="U1" s="2" t="s">
        <v>2</v>
      </c>
      <c r="V1" s="4" t="s">
        <v>3</v>
      </c>
      <c r="W1" s="4" t="s">
        <v>4</v>
      </c>
      <c r="X1" s="4" t="s">
        <v>5</v>
      </c>
    </row>
    <row r="2">
      <c r="A2" s="5" t="s">
        <v>6</v>
      </c>
      <c r="R2" s="6" t="s">
        <v>7</v>
      </c>
      <c r="S2" s="5" t="s">
        <v>8</v>
      </c>
      <c r="T2" s="6" t="s">
        <v>9</v>
      </c>
      <c r="U2" s="7" t="s">
        <v>10</v>
      </c>
      <c r="V2" s="8" t="str">
        <f t="shared" ref="V2:V117" si="1">IF(COUNTIF($S:$S, R2)&gt;0, R2, "")</f>
        <v/>
      </c>
      <c r="W2" s="8" t="str">
        <f t="shared" ref="W2:W117" si="2">IF(COUNTIF($S:$S, R2)&gt;0, T2, "")</f>
        <v/>
      </c>
      <c r="X2" s="8" t="str">
        <f t="shared" ref="X2:X117" si="3">IF(COUNTIF($S:$S, R2)&gt;0, U2, "")</f>
        <v/>
      </c>
    </row>
    <row r="3">
      <c r="A3" s="5" t="s">
        <v>11</v>
      </c>
      <c r="R3" s="6" t="s">
        <v>12</v>
      </c>
      <c r="S3" s="5" t="s">
        <v>13</v>
      </c>
      <c r="T3" s="6" t="s">
        <v>14</v>
      </c>
      <c r="U3" s="7" t="s">
        <v>15</v>
      </c>
      <c r="V3" s="8" t="str">
        <f t="shared" si="1"/>
        <v/>
      </c>
      <c r="W3" s="8" t="str">
        <f t="shared" si="2"/>
        <v/>
      </c>
      <c r="X3" s="8" t="str">
        <f t="shared" si="3"/>
        <v/>
      </c>
    </row>
    <row r="4">
      <c r="A4" s="9" t="s">
        <v>16</v>
      </c>
      <c r="B4" s="3" t="s">
        <v>0</v>
      </c>
      <c r="C4" s="3"/>
      <c r="D4" s="9" t="s">
        <v>17</v>
      </c>
      <c r="E4" s="9" t="s">
        <v>18</v>
      </c>
      <c r="F4" s="9" t="s">
        <v>19</v>
      </c>
      <c r="G4" s="9" t="s">
        <v>20</v>
      </c>
      <c r="H4" s="9" t="s">
        <v>21</v>
      </c>
      <c r="I4" s="9" t="s">
        <v>22</v>
      </c>
      <c r="R4" s="6" t="s">
        <v>23</v>
      </c>
      <c r="S4" s="5" t="s">
        <v>24</v>
      </c>
      <c r="T4" s="6" t="s">
        <v>25</v>
      </c>
      <c r="U4" s="7" t="s">
        <v>26</v>
      </c>
      <c r="V4" s="8" t="str">
        <f t="shared" si="1"/>
        <v/>
      </c>
      <c r="W4" s="8" t="str">
        <f t="shared" si="2"/>
        <v/>
      </c>
      <c r="X4" s="8" t="str">
        <f t="shared" si="3"/>
        <v/>
      </c>
    </row>
    <row r="5">
      <c r="A5" s="5" t="s">
        <v>27</v>
      </c>
      <c r="B5" s="5" t="s">
        <v>28</v>
      </c>
      <c r="C5" s="5"/>
      <c r="D5" s="5" t="s">
        <v>29</v>
      </c>
      <c r="E5" s="5" t="s">
        <v>30</v>
      </c>
      <c r="F5" s="5" t="s">
        <v>31</v>
      </c>
      <c r="G5" s="5">
        <v>3.0</v>
      </c>
      <c r="H5" s="5" t="s">
        <v>32</v>
      </c>
      <c r="I5" s="5" t="s">
        <v>33</v>
      </c>
      <c r="R5" s="6" t="s">
        <v>34</v>
      </c>
      <c r="S5" s="5" t="s">
        <v>35</v>
      </c>
      <c r="T5" s="6" t="s">
        <v>36</v>
      </c>
      <c r="U5" s="7" t="s">
        <v>37</v>
      </c>
      <c r="V5" s="8" t="str">
        <f t="shared" si="1"/>
        <v/>
      </c>
      <c r="W5" s="8" t="str">
        <f t="shared" si="2"/>
        <v/>
      </c>
      <c r="X5" s="8" t="str">
        <f t="shared" si="3"/>
        <v/>
      </c>
    </row>
    <row r="6">
      <c r="A6" s="5" t="s">
        <v>27</v>
      </c>
      <c r="B6" s="5" t="s">
        <v>38</v>
      </c>
      <c r="C6" s="5"/>
      <c r="D6" s="5" t="s">
        <v>39</v>
      </c>
      <c r="E6" s="5" t="s">
        <v>40</v>
      </c>
      <c r="F6" s="5" t="s">
        <v>31</v>
      </c>
      <c r="G6" s="5">
        <v>2.0</v>
      </c>
      <c r="H6" s="5" t="s">
        <v>41</v>
      </c>
      <c r="I6" s="5" t="s">
        <v>42</v>
      </c>
      <c r="R6" s="6" t="s">
        <v>43</v>
      </c>
      <c r="S6" s="5" t="s">
        <v>44</v>
      </c>
      <c r="T6" s="6" t="s">
        <v>45</v>
      </c>
      <c r="U6" s="7" t="s">
        <v>46</v>
      </c>
      <c r="V6" s="8" t="str">
        <f t="shared" si="1"/>
        <v/>
      </c>
      <c r="W6" s="8" t="str">
        <f t="shared" si="2"/>
        <v/>
      </c>
      <c r="X6" s="8" t="str">
        <f t="shared" si="3"/>
        <v/>
      </c>
    </row>
    <row r="7">
      <c r="A7" s="5" t="s">
        <v>27</v>
      </c>
      <c r="B7" s="5" t="s">
        <v>47</v>
      </c>
      <c r="C7" s="5"/>
      <c r="D7" s="5" t="s">
        <v>48</v>
      </c>
      <c r="E7" s="5" t="s">
        <v>40</v>
      </c>
      <c r="F7" s="5" t="s">
        <v>49</v>
      </c>
      <c r="G7" s="5">
        <v>3.0</v>
      </c>
      <c r="H7" s="5" t="s">
        <v>50</v>
      </c>
      <c r="I7" s="5" t="s">
        <v>51</v>
      </c>
      <c r="R7" s="6" t="s">
        <v>52</v>
      </c>
      <c r="S7" s="5" t="s">
        <v>53</v>
      </c>
      <c r="T7" s="6" t="s">
        <v>54</v>
      </c>
      <c r="U7" s="7" t="s">
        <v>55</v>
      </c>
      <c r="V7" s="8" t="str">
        <f t="shared" si="1"/>
        <v/>
      </c>
      <c r="W7" s="8" t="str">
        <f t="shared" si="2"/>
        <v/>
      </c>
      <c r="X7" s="8" t="str">
        <f t="shared" si="3"/>
        <v/>
      </c>
    </row>
    <row r="8">
      <c r="A8" s="5" t="s">
        <v>27</v>
      </c>
      <c r="B8" s="5" t="s">
        <v>56</v>
      </c>
      <c r="C8" s="5"/>
      <c r="D8" s="5" t="s">
        <v>57</v>
      </c>
      <c r="E8" s="5" t="s">
        <v>40</v>
      </c>
      <c r="F8" s="5" t="s">
        <v>58</v>
      </c>
      <c r="G8" s="5">
        <v>3.0</v>
      </c>
      <c r="H8" s="5" t="s">
        <v>41</v>
      </c>
      <c r="I8" s="5" t="s">
        <v>42</v>
      </c>
      <c r="R8" s="6" t="s">
        <v>59</v>
      </c>
      <c r="S8" s="5" t="s">
        <v>60</v>
      </c>
      <c r="T8" s="6" t="s">
        <v>61</v>
      </c>
      <c r="U8" s="7" t="s">
        <v>62</v>
      </c>
      <c r="V8" s="8" t="str">
        <f t="shared" si="1"/>
        <v>SSF-110</v>
      </c>
      <c r="W8" s="8" t="str">
        <f t="shared" si="2"/>
        <v>[DG MARE] Gitlab Server</v>
      </c>
      <c r="X8" s="10" t="str">
        <f t="shared" si="3"/>
        <v>https://citnet.tech.ec.europa.eu/CITnet/jira/browse/SSF-110</v>
      </c>
    </row>
    <row r="9">
      <c r="A9" s="5" t="s">
        <v>27</v>
      </c>
      <c r="B9" s="5" t="s">
        <v>63</v>
      </c>
      <c r="C9" s="5"/>
      <c r="D9" s="5" t="s">
        <v>64</v>
      </c>
      <c r="E9" s="5" t="s">
        <v>40</v>
      </c>
      <c r="F9" s="5" t="s">
        <v>58</v>
      </c>
      <c r="G9" s="5">
        <v>5.0</v>
      </c>
      <c r="H9" s="5" t="s">
        <v>41</v>
      </c>
      <c r="I9" s="5" t="s">
        <v>42</v>
      </c>
      <c r="R9" s="6" t="s">
        <v>65</v>
      </c>
      <c r="S9" s="5" t="s">
        <v>66</v>
      </c>
      <c r="T9" s="6" t="s">
        <v>67</v>
      </c>
      <c r="U9" s="7" t="s">
        <v>68</v>
      </c>
      <c r="V9" s="8" t="str">
        <f t="shared" si="1"/>
        <v>SSF-111</v>
      </c>
      <c r="W9" s="8" t="str">
        <f t="shared" si="2"/>
        <v>[DG MARE] AWS access</v>
      </c>
      <c r="X9" s="10" t="str">
        <f t="shared" si="3"/>
        <v>https://citnet.tech.ec.europa.eu/CITnet/jira/browse/SSF-111</v>
      </c>
    </row>
    <row r="10">
      <c r="A10" s="5" t="s">
        <v>27</v>
      </c>
      <c r="B10" s="5" t="s">
        <v>69</v>
      </c>
      <c r="C10" s="5"/>
      <c r="D10" s="5" t="s">
        <v>70</v>
      </c>
      <c r="E10" s="5" t="s">
        <v>40</v>
      </c>
      <c r="F10" s="5" t="s">
        <v>58</v>
      </c>
      <c r="G10" s="5">
        <v>2.0</v>
      </c>
      <c r="H10" s="5" t="s">
        <v>41</v>
      </c>
      <c r="I10" s="5" t="s">
        <v>42</v>
      </c>
      <c r="R10" s="6" t="s">
        <v>71</v>
      </c>
      <c r="S10" s="5" t="s">
        <v>72</v>
      </c>
      <c r="T10" s="6" t="s">
        <v>73</v>
      </c>
      <c r="U10" s="7" t="s">
        <v>74</v>
      </c>
      <c r="V10" s="8" t="str">
        <f t="shared" si="1"/>
        <v>SSF-112</v>
      </c>
      <c r="W10" s="8" t="str">
        <f t="shared" si="2"/>
        <v>[DG MARE] Firebase Project Setup</v>
      </c>
      <c r="X10" s="10" t="str">
        <f t="shared" si="3"/>
        <v>https://citnet.tech.ec.europa.eu/CITnet/jira/browse/SSF-112</v>
      </c>
    </row>
    <row r="11">
      <c r="A11" s="5" t="s">
        <v>27</v>
      </c>
      <c r="B11" s="5" t="s">
        <v>75</v>
      </c>
      <c r="C11" s="5"/>
      <c r="D11" s="5" t="s">
        <v>76</v>
      </c>
      <c r="E11" s="5" t="s">
        <v>40</v>
      </c>
      <c r="F11" s="5" t="s">
        <v>58</v>
      </c>
      <c r="G11" s="5">
        <v>3.0</v>
      </c>
      <c r="H11" s="5" t="s">
        <v>41</v>
      </c>
      <c r="I11" s="5" t="s">
        <v>42</v>
      </c>
      <c r="R11" s="6" t="s">
        <v>77</v>
      </c>
      <c r="S11" s="5" t="s">
        <v>78</v>
      </c>
      <c r="T11" s="6" t="s">
        <v>79</v>
      </c>
      <c r="U11" s="7" t="s">
        <v>80</v>
      </c>
      <c r="V11" s="8" t="str">
        <f t="shared" si="1"/>
        <v>SSF-107</v>
      </c>
      <c r="W11" s="8" t="str">
        <f t="shared" si="2"/>
        <v>[MOB] Initiate Mobile App Codebase</v>
      </c>
      <c r="X11" s="10" t="str">
        <f t="shared" si="3"/>
        <v>https://citnet.tech.ec.europa.eu/CITnet/jira/browse/SSF-107</v>
      </c>
    </row>
    <row r="12">
      <c r="A12" s="5" t="s">
        <v>27</v>
      </c>
      <c r="B12" s="5" t="s">
        <v>81</v>
      </c>
      <c r="C12" s="5"/>
      <c r="D12" s="5" t="s">
        <v>82</v>
      </c>
      <c r="E12" s="5" t="s">
        <v>40</v>
      </c>
      <c r="F12" s="5" t="s">
        <v>58</v>
      </c>
      <c r="G12" s="5">
        <v>3.0</v>
      </c>
      <c r="H12" s="5" t="s">
        <v>83</v>
      </c>
      <c r="I12" s="5" t="s">
        <v>42</v>
      </c>
      <c r="R12" s="6" t="s">
        <v>60</v>
      </c>
      <c r="S12" s="5" t="s">
        <v>84</v>
      </c>
      <c r="T12" s="6" t="s">
        <v>85</v>
      </c>
      <c r="U12" s="7" t="s">
        <v>86</v>
      </c>
      <c r="V12" s="8" t="str">
        <f t="shared" si="1"/>
        <v>SSF-85</v>
      </c>
      <c r="W12" s="8" t="str">
        <f t="shared" si="2"/>
        <v>[MOB] Mobile App architecture</v>
      </c>
      <c r="X12" s="10" t="str">
        <f t="shared" si="3"/>
        <v>https://citnet.tech.ec.europa.eu/CITnet/jira/browse/SSF-85</v>
      </c>
    </row>
    <row r="13">
      <c r="A13" s="5" t="s">
        <v>27</v>
      </c>
      <c r="B13" s="5" t="s">
        <v>87</v>
      </c>
      <c r="C13" s="5"/>
      <c r="D13" s="5" t="s">
        <v>88</v>
      </c>
      <c r="E13" s="5" t="s">
        <v>40</v>
      </c>
      <c r="F13" s="5" t="s">
        <v>58</v>
      </c>
      <c r="G13" s="5">
        <v>5.0</v>
      </c>
      <c r="H13" s="5" t="s">
        <v>41</v>
      </c>
      <c r="I13" s="5" t="s">
        <v>42</v>
      </c>
      <c r="R13" s="6" t="s">
        <v>89</v>
      </c>
      <c r="S13" s="5" t="s">
        <v>90</v>
      </c>
      <c r="T13" s="6" t="s">
        <v>91</v>
      </c>
      <c r="U13" s="7" t="s">
        <v>92</v>
      </c>
      <c r="V13" s="8" t="str">
        <f t="shared" si="1"/>
        <v>SSF-106</v>
      </c>
      <c r="W13" s="8" t="str">
        <f t="shared" si="2"/>
        <v>[MOB] Initiate Firebase project with App distribution</v>
      </c>
      <c r="X13" s="10" t="str">
        <f t="shared" si="3"/>
        <v>https://citnet.tech.ec.europa.eu/CITnet/jira/browse/SSF-106</v>
      </c>
    </row>
    <row r="14">
      <c r="A14" s="5" t="s">
        <v>27</v>
      </c>
      <c r="B14" s="5" t="s">
        <v>93</v>
      </c>
      <c r="C14" s="5"/>
      <c r="D14" s="5" t="s">
        <v>94</v>
      </c>
      <c r="E14" s="5" t="s">
        <v>40</v>
      </c>
      <c r="F14" s="5" t="s">
        <v>58</v>
      </c>
      <c r="G14" s="5">
        <v>5.0</v>
      </c>
      <c r="H14" s="5" t="s">
        <v>83</v>
      </c>
      <c r="I14" s="5" t="s">
        <v>42</v>
      </c>
      <c r="R14" s="6" t="s">
        <v>95</v>
      </c>
      <c r="S14" s="5" t="s">
        <v>96</v>
      </c>
      <c r="T14" s="6" t="s">
        <v>97</v>
      </c>
      <c r="U14" s="7" t="s">
        <v>98</v>
      </c>
      <c r="V14" s="8" t="str">
        <f t="shared" si="1"/>
        <v>SSF-116</v>
      </c>
      <c r="W14" s="8" t="str">
        <f t="shared" si="2"/>
        <v>[MOB] Implement OIDC Flow (with DPoP)</v>
      </c>
      <c r="X14" s="10" t="str">
        <f t="shared" si="3"/>
        <v>https://citnet.tech.ec.europa.eu/CITnet/jira/browse/SSF-116</v>
      </c>
    </row>
    <row r="15">
      <c r="A15" s="5" t="s">
        <v>27</v>
      </c>
      <c r="B15" s="5" t="s">
        <v>99</v>
      </c>
      <c r="C15" s="5"/>
      <c r="D15" s="5" t="s">
        <v>100</v>
      </c>
      <c r="E15" s="5" t="s">
        <v>40</v>
      </c>
      <c r="F15" s="5" t="s">
        <v>58</v>
      </c>
      <c r="G15" s="5">
        <v>5.0</v>
      </c>
      <c r="H15" s="5" t="s">
        <v>41</v>
      </c>
      <c r="I15" s="5" t="s">
        <v>42</v>
      </c>
      <c r="R15" s="6" t="s">
        <v>101</v>
      </c>
      <c r="S15" s="5" t="s">
        <v>102</v>
      </c>
      <c r="T15" s="6" t="s">
        <v>103</v>
      </c>
      <c r="U15" s="7" t="s">
        <v>104</v>
      </c>
      <c r="V15" s="8" t="str">
        <f t="shared" si="1"/>
        <v>SSF-115</v>
      </c>
      <c r="W15" s="8" t="str">
        <f t="shared" si="2"/>
        <v>[MOB] Landing Page with Login button</v>
      </c>
      <c r="X15" s="10" t="str">
        <f t="shared" si="3"/>
        <v>https://citnet.tech.ec.europa.eu/CITnet/jira/browse/SSF-115</v>
      </c>
    </row>
    <row r="16">
      <c r="A16" s="5" t="s">
        <v>27</v>
      </c>
      <c r="B16" s="5" t="s">
        <v>105</v>
      </c>
      <c r="C16" s="5"/>
      <c r="D16" s="5" t="s">
        <v>106</v>
      </c>
      <c r="E16" s="5" t="s">
        <v>107</v>
      </c>
      <c r="F16" s="5" t="s">
        <v>108</v>
      </c>
      <c r="G16" s="5">
        <v>2.0</v>
      </c>
      <c r="H16" s="5" t="s">
        <v>41</v>
      </c>
      <c r="I16" s="5" t="s">
        <v>33</v>
      </c>
      <c r="R16" s="6" t="s">
        <v>109</v>
      </c>
      <c r="S16" s="5" t="s">
        <v>110</v>
      </c>
      <c r="T16" s="6" t="s">
        <v>111</v>
      </c>
      <c r="U16" s="7" t="s">
        <v>112</v>
      </c>
      <c r="V16" s="8" t="str">
        <f t="shared" si="1"/>
        <v>SSF-118</v>
      </c>
      <c r="W16" s="8" t="str">
        <f t="shared" si="2"/>
        <v>[MOB] Vessel selection screen (Mocked)</v>
      </c>
      <c r="X16" s="10" t="str">
        <f t="shared" si="3"/>
        <v>https://citnet.tech.ec.europa.eu/CITnet/jira/browse/SSF-118</v>
      </c>
    </row>
    <row r="17">
      <c r="A17" s="5" t="s">
        <v>27</v>
      </c>
      <c r="B17" s="5" t="s">
        <v>113</v>
      </c>
      <c r="C17" s="5"/>
      <c r="D17" s="5" t="s">
        <v>114</v>
      </c>
      <c r="E17" s="5" t="s">
        <v>40</v>
      </c>
      <c r="F17" s="5" t="s">
        <v>108</v>
      </c>
      <c r="G17" s="5">
        <v>2.0</v>
      </c>
      <c r="H17" s="5" t="s">
        <v>115</v>
      </c>
      <c r="I17" s="5" t="s">
        <v>42</v>
      </c>
      <c r="R17" s="6" t="s">
        <v>116</v>
      </c>
      <c r="S17" s="5" t="s">
        <v>117</v>
      </c>
      <c r="T17" s="6" t="s">
        <v>118</v>
      </c>
      <c r="U17" s="7" t="s">
        <v>119</v>
      </c>
      <c r="V17" s="8" t="str">
        <f t="shared" si="1"/>
        <v>SSF-167</v>
      </c>
      <c r="W17" s="8" t="str">
        <f t="shared" si="2"/>
        <v>[MOB] Initialization of internationalization</v>
      </c>
      <c r="X17" s="10" t="str">
        <f t="shared" si="3"/>
        <v>https://citnet.tech.ec.europa.eu/CITnet/jira/browse/SSF-167</v>
      </c>
    </row>
    <row r="18">
      <c r="A18" s="5" t="s">
        <v>27</v>
      </c>
      <c r="B18" s="5" t="s">
        <v>120</v>
      </c>
      <c r="C18" s="5"/>
      <c r="D18" s="5" t="s">
        <v>121</v>
      </c>
      <c r="E18" s="5" t="s">
        <v>40</v>
      </c>
      <c r="F18" s="5" t="s">
        <v>108</v>
      </c>
      <c r="G18" s="5">
        <v>2.0</v>
      </c>
      <c r="H18" s="5" t="s">
        <v>83</v>
      </c>
      <c r="I18" s="5" t="s">
        <v>42</v>
      </c>
      <c r="R18" s="6" t="s">
        <v>122</v>
      </c>
      <c r="S18" s="5" t="s">
        <v>123</v>
      </c>
      <c r="T18" s="6" t="s">
        <v>124</v>
      </c>
      <c r="U18" s="7" t="s">
        <v>125</v>
      </c>
      <c r="V18" s="8" t="str">
        <f t="shared" si="1"/>
        <v>SSF-201</v>
      </c>
      <c r="W18" s="8" t="str">
        <f t="shared" si="2"/>
        <v>[MOB] Créer un keystore pour signer l'application Android</v>
      </c>
      <c r="X18" s="10" t="str">
        <f t="shared" si="3"/>
        <v>https://citnet.tech.ec.europa.eu/CITnet/jira/browse/SSF-201</v>
      </c>
    </row>
    <row r="19">
      <c r="A19" s="5" t="s">
        <v>27</v>
      </c>
      <c r="B19" s="5" t="s">
        <v>126</v>
      </c>
      <c r="C19" s="5"/>
      <c r="D19" s="5" t="s">
        <v>127</v>
      </c>
      <c r="E19" s="5" t="s">
        <v>40</v>
      </c>
      <c r="F19" s="5" t="s">
        <v>108</v>
      </c>
      <c r="G19" s="5">
        <v>3.0</v>
      </c>
      <c r="H19" s="5" t="s">
        <v>83</v>
      </c>
      <c r="I19" s="5" t="s">
        <v>42</v>
      </c>
      <c r="R19" s="6" t="s">
        <v>128</v>
      </c>
      <c r="S19" s="5" t="s">
        <v>129</v>
      </c>
      <c r="T19" s="6" t="s">
        <v>130</v>
      </c>
      <c r="U19" s="7" t="s">
        <v>131</v>
      </c>
      <c r="V19" s="8" t="str">
        <f t="shared" si="1"/>
        <v>SSF-199</v>
      </c>
      <c r="W19" s="8" t="str">
        <f t="shared" si="2"/>
        <v>[MOB] Testers information / Setup</v>
      </c>
      <c r="X19" s="10" t="str">
        <f t="shared" si="3"/>
        <v>https://citnet.tech.ec.europa.eu/CITnet/jira/browse/SSF-199</v>
      </c>
    </row>
    <row r="20">
      <c r="A20" s="5" t="s">
        <v>27</v>
      </c>
      <c r="B20" s="5" t="s">
        <v>132</v>
      </c>
      <c r="C20" s="5"/>
      <c r="D20" s="5" t="s">
        <v>133</v>
      </c>
      <c r="E20" s="5" t="s">
        <v>40</v>
      </c>
      <c r="F20" s="5" t="s">
        <v>108</v>
      </c>
      <c r="G20" s="5">
        <v>3.0</v>
      </c>
      <c r="H20" s="5" t="s">
        <v>83</v>
      </c>
      <c r="I20" s="5" t="s">
        <v>42</v>
      </c>
      <c r="R20" s="6" t="s">
        <v>134</v>
      </c>
      <c r="S20" s="5" t="s">
        <v>135</v>
      </c>
      <c r="T20" s="6" t="s">
        <v>136</v>
      </c>
      <c r="U20" s="7" t="s">
        <v>137</v>
      </c>
      <c r="V20" s="8" t="str">
        <f t="shared" si="1"/>
        <v>SSF-113</v>
      </c>
      <c r="W20" s="8" t="str">
        <f t="shared" si="2"/>
        <v>[DG MARE] Create Apple Developper Account</v>
      </c>
      <c r="X20" s="10" t="str">
        <f t="shared" si="3"/>
        <v>https://citnet.tech.ec.europa.eu/CITnet/jira/browse/SSF-113</v>
      </c>
    </row>
    <row r="21">
      <c r="A21" s="5" t="s">
        <v>27</v>
      </c>
      <c r="B21" s="5" t="s">
        <v>138</v>
      </c>
      <c r="C21" s="5"/>
      <c r="D21" s="5" t="s">
        <v>139</v>
      </c>
      <c r="E21" s="5" t="s">
        <v>40</v>
      </c>
      <c r="F21" s="5" t="s">
        <v>108</v>
      </c>
      <c r="G21" s="5">
        <v>3.0</v>
      </c>
      <c r="H21" s="5" t="s">
        <v>83</v>
      </c>
      <c r="I21" s="5" t="s">
        <v>42</v>
      </c>
      <c r="R21" s="6" t="s">
        <v>140</v>
      </c>
      <c r="S21" s="5" t="s">
        <v>141</v>
      </c>
      <c r="T21" s="6" t="s">
        <v>142</v>
      </c>
      <c r="U21" s="7" t="s">
        <v>143</v>
      </c>
      <c r="V21" s="8" t="str">
        <f t="shared" si="1"/>
        <v>SSF-175</v>
      </c>
      <c r="W21" s="8" t="str">
        <f t="shared" si="2"/>
        <v>{DEV READY} [MOB] Setup AWS for Login redirect URI (App link, Universal Link)</v>
      </c>
      <c r="X21" s="10" t="str">
        <f t="shared" si="3"/>
        <v>https://citnet.tech.ec.europa.eu/CITnet/jira/browse/SSF-175</v>
      </c>
    </row>
    <row r="22">
      <c r="A22" s="5" t="s">
        <v>27</v>
      </c>
      <c r="B22" s="5" t="s">
        <v>144</v>
      </c>
      <c r="C22" s="5"/>
      <c r="D22" s="5" t="s">
        <v>145</v>
      </c>
      <c r="E22" s="5" t="s">
        <v>40</v>
      </c>
      <c r="F22" s="5" t="s">
        <v>108</v>
      </c>
      <c r="G22" s="5">
        <v>3.0</v>
      </c>
      <c r="H22" s="5" t="s">
        <v>83</v>
      </c>
      <c r="I22" s="5" t="s">
        <v>42</v>
      </c>
      <c r="R22" s="6" t="s">
        <v>135</v>
      </c>
      <c r="S22" s="5" t="s">
        <v>122</v>
      </c>
      <c r="T22" s="6" t="s">
        <v>146</v>
      </c>
      <c r="U22" s="7" t="s">
        <v>147</v>
      </c>
      <c r="V22" s="8" t="str">
        <f t="shared" si="1"/>
        <v>SSF-203</v>
      </c>
      <c r="W22" s="8" t="str">
        <f t="shared" si="2"/>
        <v>[MOB] Implement Refresh Session</v>
      </c>
      <c r="X22" s="10" t="str">
        <f t="shared" si="3"/>
        <v>https://citnet.tech.ec.europa.eu/CITnet/jira/browse/SSF-203</v>
      </c>
    </row>
    <row r="23">
      <c r="A23" s="5" t="s">
        <v>27</v>
      </c>
      <c r="B23" s="5" t="s">
        <v>148</v>
      </c>
      <c r="C23" s="5"/>
      <c r="D23" s="5" t="s">
        <v>149</v>
      </c>
      <c r="E23" s="5" t="s">
        <v>40</v>
      </c>
      <c r="F23" s="5" t="s">
        <v>108</v>
      </c>
      <c r="G23" s="5">
        <v>3.0</v>
      </c>
      <c r="H23" s="5" t="s">
        <v>83</v>
      </c>
      <c r="I23" s="5" t="s">
        <v>42</v>
      </c>
      <c r="R23" s="6" t="s">
        <v>150</v>
      </c>
      <c r="S23" s="5" t="s">
        <v>151</v>
      </c>
      <c r="T23" s="6" t="s">
        <v>152</v>
      </c>
      <c r="U23" s="7" t="s">
        <v>153</v>
      </c>
      <c r="V23" s="8" t="str">
        <f t="shared" si="1"/>
        <v>SSF-179</v>
      </c>
      <c r="W23" s="8" t="str">
        <f t="shared" si="2"/>
        <v>{DEV READY} [BACK] Swagger setup</v>
      </c>
      <c r="X23" s="10" t="str">
        <f t="shared" si="3"/>
        <v>https://citnet.tech.ec.europa.eu/CITnet/jira/browse/SSF-179</v>
      </c>
    </row>
    <row r="24">
      <c r="A24" s="5" t="s">
        <v>27</v>
      </c>
      <c r="B24" s="5" t="s">
        <v>154</v>
      </c>
      <c r="C24" s="5"/>
      <c r="D24" s="5" t="s">
        <v>155</v>
      </c>
      <c r="E24" s="5" t="s">
        <v>40</v>
      </c>
      <c r="F24" s="5" t="s">
        <v>108</v>
      </c>
      <c r="G24" s="5">
        <v>2.0</v>
      </c>
      <c r="H24" s="5" t="s">
        <v>41</v>
      </c>
      <c r="I24" s="5" t="s">
        <v>42</v>
      </c>
      <c r="R24" s="6" t="s">
        <v>13</v>
      </c>
      <c r="S24" s="5" t="s">
        <v>128</v>
      </c>
      <c r="T24" s="6" t="s">
        <v>156</v>
      </c>
      <c r="U24" s="7" t="s">
        <v>157</v>
      </c>
      <c r="V24" s="8" t="str">
        <f t="shared" si="1"/>
        <v>SSF-98</v>
      </c>
      <c r="W24" s="8" t="str">
        <f t="shared" si="2"/>
        <v>{DEV READY} [MOB] Initiate CI/CD</v>
      </c>
      <c r="X24" s="10" t="str">
        <f t="shared" si="3"/>
        <v>https://citnet.tech.ec.europa.eu/CITnet/jira/browse/SSF-98</v>
      </c>
    </row>
    <row r="25">
      <c r="A25" s="5" t="s">
        <v>27</v>
      </c>
      <c r="B25" s="5" t="s">
        <v>158</v>
      </c>
      <c r="C25" s="5"/>
      <c r="D25" s="5" t="s">
        <v>159</v>
      </c>
      <c r="E25" s="5" t="s">
        <v>40</v>
      </c>
      <c r="F25" s="5" t="s">
        <v>108</v>
      </c>
      <c r="G25" s="5">
        <v>2.0</v>
      </c>
      <c r="H25" s="5" t="s">
        <v>41</v>
      </c>
      <c r="I25" s="5" t="s">
        <v>42</v>
      </c>
      <c r="R25" s="6" t="s">
        <v>8</v>
      </c>
      <c r="S25" s="5" t="s">
        <v>56</v>
      </c>
      <c r="T25" s="6" t="s">
        <v>160</v>
      </c>
      <c r="U25" s="7" t="s">
        <v>161</v>
      </c>
      <c r="V25" s="8" t="str">
        <f t="shared" si="1"/>
        <v>SSF-99</v>
      </c>
      <c r="W25" s="8" t="str">
        <f t="shared" si="2"/>
        <v>{DEV READY} [BACK] Initiate CI/CD</v>
      </c>
      <c r="X25" s="10" t="str">
        <f t="shared" si="3"/>
        <v>https://citnet.tech.ec.europa.eu/CITnet/jira/browse/SSF-99</v>
      </c>
    </row>
    <row r="26">
      <c r="A26" s="5" t="s">
        <v>27</v>
      </c>
      <c r="B26" s="5" t="s">
        <v>162</v>
      </c>
      <c r="C26" s="5"/>
      <c r="D26" s="5" t="s">
        <v>163</v>
      </c>
      <c r="E26" s="5" t="s">
        <v>40</v>
      </c>
      <c r="F26" s="5" t="s">
        <v>108</v>
      </c>
      <c r="G26" s="5">
        <v>2.0</v>
      </c>
      <c r="H26" s="5" t="s">
        <v>41</v>
      </c>
      <c r="I26" s="5" t="s">
        <v>42</v>
      </c>
      <c r="R26" s="6" t="s">
        <v>164</v>
      </c>
      <c r="S26" s="5" t="s">
        <v>63</v>
      </c>
      <c r="T26" s="6" t="s">
        <v>165</v>
      </c>
      <c r="U26" s="7" t="s">
        <v>166</v>
      </c>
      <c r="V26" s="8" t="str">
        <f t="shared" si="1"/>
        <v>SSF-100</v>
      </c>
      <c r="W26" s="8" t="str">
        <f t="shared" si="2"/>
        <v>{DEV READY} [BACK] Infra as Code implementation on AWS (Terraform)</v>
      </c>
      <c r="X26" s="10" t="str">
        <f t="shared" si="3"/>
        <v>https://citnet.tech.ec.europa.eu/CITnet/jira/browse/SSF-100</v>
      </c>
    </row>
    <row r="27">
      <c r="A27" s="5" t="s">
        <v>27</v>
      </c>
      <c r="B27" s="5" t="s">
        <v>167</v>
      </c>
      <c r="C27" s="5"/>
      <c r="D27" s="5" t="s">
        <v>168</v>
      </c>
      <c r="E27" s="5" t="s">
        <v>40</v>
      </c>
      <c r="F27" s="5" t="s">
        <v>108</v>
      </c>
      <c r="G27" s="5">
        <v>5.0</v>
      </c>
      <c r="H27" s="5" t="s">
        <v>41</v>
      </c>
      <c r="I27" s="5" t="s">
        <v>169</v>
      </c>
      <c r="R27" s="6" t="s">
        <v>170</v>
      </c>
      <c r="S27" s="5" t="s">
        <v>69</v>
      </c>
      <c r="T27" s="6" t="s">
        <v>171</v>
      </c>
      <c r="U27" s="7" t="s">
        <v>172</v>
      </c>
      <c r="V27" s="8" t="str">
        <f t="shared" si="1"/>
        <v>SSF-103</v>
      </c>
      <c r="W27" s="8" t="str">
        <f t="shared" si="2"/>
        <v>{DEV READY} [BACK] Deploy App Server on AWS (Ansible)</v>
      </c>
      <c r="X27" s="10" t="str">
        <f t="shared" si="3"/>
        <v>https://citnet.tech.ec.europa.eu/CITnet/jira/browse/SSF-103</v>
      </c>
    </row>
    <row r="28">
      <c r="A28" s="5" t="s">
        <v>27</v>
      </c>
      <c r="B28" s="5" t="s">
        <v>173</v>
      </c>
      <c r="C28" s="5"/>
      <c r="D28" s="5" t="s">
        <v>174</v>
      </c>
      <c r="E28" s="5" t="s">
        <v>40</v>
      </c>
      <c r="F28" s="5" t="s">
        <v>108</v>
      </c>
      <c r="G28" s="5">
        <v>3.0</v>
      </c>
      <c r="H28" s="5" t="s">
        <v>41</v>
      </c>
      <c r="I28" s="5" t="s">
        <v>169</v>
      </c>
      <c r="R28" s="6" t="s">
        <v>175</v>
      </c>
      <c r="S28" s="5" t="s">
        <v>75</v>
      </c>
      <c r="T28" s="6" t="s">
        <v>176</v>
      </c>
      <c r="U28" s="7" t="s">
        <v>177</v>
      </c>
      <c r="V28" s="8" t="str">
        <f t="shared" si="1"/>
        <v>SSF-104</v>
      </c>
      <c r="W28" s="8" t="str">
        <f t="shared" si="2"/>
        <v>{DEV READY} [BACK] Gitlab CI for Ansible</v>
      </c>
      <c r="X28" s="10" t="str">
        <f t="shared" si="3"/>
        <v>https://citnet.tech.ec.europa.eu/CITnet/jira/browse/SSF-104</v>
      </c>
    </row>
    <row r="29">
      <c r="A29" s="5" t="s">
        <v>27</v>
      </c>
      <c r="B29" s="5" t="s">
        <v>178</v>
      </c>
      <c r="C29" s="5"/>
      <c r="D29" s="5" t="s">
        <v>179</v>
      </c>
      <c r="E29" s="5" t="s">
        <v>40</v>
      </c>
      <c r="F29" s="5" t="s">
        <v>108</v>
      </c>
      <c r="G29" s="5">
        <v>3.0</v>
      </c>
      <c r="H29" s="5" t="s">
        <v>41</v>
      </c>
      <c r="I29" s="5" t="s">
        <v>169</v>
      </c>
      <c r="R29" s="6" t="s">
        <v>180</v>
      </c>
      <c r="S29" s="5" t="s">
        <v>81</v>
      </c>
      <c r="T29" s="6" t="s">
        <v>181</v>
      </c>
      <c r="U29" s="7" t="s">
        <v>182</v>
      </c>
      <c r="V29" s="8" t="str">
        <f t="shared" si="1"/>
        <v>SSF-173</v>
      </c>
      <c r="W29" s="8" t="str">
        <f t="shared" si="2"/>
        <v>[MOB] Home Screen (Mocked)</v>
      </c>
      <c r="X29" s="10" t="str">
        <f t="shared" si="3"/>
        <v>https://citnet.tech.ec.europa.eu/CITnet/jira/browse/SSF-173</v>
      </c>
    </row>
    <row r="30">
      <c r="A30" s="5" t="s">
        <v>27</v>
      </c>
      <c r="B30" s="5" t="s">
        <v>66</v>
      </c>
      <c r="C30" s="5"/>
      <c r="D30" s="5" t="s">
        <v>183</v>
      </c>
      <c r="E30" s="5" t="s">
        <v>40</v>
      </c>
      <c r="F30" s="5" t="s">
        <v>184</v>
      </c>
      <c r="G30" s="5">
        <v>3.0</v>
      </c>
      <c r="H30" s="5" t="s">
        <v>83</v>
      </c>
      <c r="I30" s="5" t="s">
        <v>42</v>
      </c>
      <c r="R30" s="6" t="s">
        <v>185</v>
      </c>
      <c r="S30" s="5" t="s">
        <v>87</v>
      </c>
      <c r="T30" s="6" t="s">
        <v>108</v>
      </c>
      <c r="U30" s="7" t="s">
        <v>186</v>
      </c>
      <c r="V30" s="8" t="str">
        <f t="shared" si="1"/>
        <v/>
      </c>
      <c r="W30" s="8" t="str">
        <f t="shared" si="2"/>
        <v/>
      </c>
      <c r="X30" s="8" t="str">
        <f t="shared" si="3"/>
        <v/>
      </c>
    </row>
    <row r="31">
      <c r="A31" s="5" t="s">
        <v>27</v>
      </c>
      <c r="B31" s="5" t="s">
        <v>72</v>
      </c>
      <c r="C31" s="5"/>
      <c r="D31" s="5" t="s">
        <v>187</v>
      </c>
      <c r="E31" s="5" t="s">
        <v>40</v>
      </c>
      <c r="F31" s="5" t="s">
        <v>184</v>
      </c>
      <c r="G31" s="5">
        <v>3.0</v>
      </c>
      <c r="H31" s="5" t="s">
        <v>83</v>
      </c>
      <c r="I31" s="5" t="s">
        <v>42</v>
      </c>
      <c r="R31" s="6" t="s">
        <v>188</v>
      </c>
      <c r="S31" s="5" t="s">
        <v>93</v>
      </c>
      <c r="T31" s="6" t="s">
        <v>189</v>
      </c>
      <c r="U31" s="7" t="s">
        <v>190</v>
      </c>
      <c r="V31" s="8" t="str">
        <f t="shared" si="1"/>
        <v/>
      </c>
      <c r="W31" s="8" t="str">
        <f t="shared" si="2"/>
        <v/>
      </c>
      <c r="X31" s="8" t="str">
        <f t="shared" si="3"/>
        <v/>
      </c>
    </row>
    <row r="32">
      <c r="A32" s="5" t="s">
        <v>27</v>
      </c>
      <c r="B32" s="5" t="s">
        <v>78</v>
      </c>
      <c r="C32" s="5"/>
      <c r="D32" s="5" t="s">
        <v>191</v>
      </c>
      <c r="E32" s="5" t="s">
        <v>40</v>
      </c>
      <c r="F32" s="5" t="s">
        <v>184</v>
      </c>
      <c r="G32" s="5">
        <v>3.0</v>
      </c>
      <c r="H32" s="5" t="s">
        <v>192</v>
      </c>
      <c r="I32" s="5" t="s">
        <v>42</v>
      </c>
      <c r="R32" s="6" t="s">
        <v>193</v>
      </c>
      <c r="S32" s="5" t="s">
        <v>99</v>
      </c>
      <c r="T32" s="6" t="s">
        <v>58</v>
      </c>
      <c r="U32" s="7" t="s">
        <v>194</v>
      </c>
      <c r="V32" s="8" t="str">
        <f t="shared" si="1"/>
        <v/>
      </c>
      <c r="W32" s="8" t="str">
        <f t="shared" si="2"/>
        <v/>
      </c>
      <c r="X32" s="8" t="str">
        <f t="shared" si="3"/>
        <v/>
      </c>
    </row>
    <row r="33">
      <c r="A33" s="5" t="s">
        <v>27</v>
      </c>
      <c r="B33" s="5" t="s">
        <v>84</v>
      </c>
      <c r="C33" s="5"/>
      <c r="D33" s="5" t="s">
        <v>195</v>
      </c>
      <c r="E33" s="5" t="s">
        <v>40</v>
      </c>
      <c r="F33" s="5" t="s">
        <v>184</v>
      </c>
      <c r="G33" s="5">
        <v>3.0</v>
      </c>
      <c r="H33" s="5" t="s">
        <v>41</v>
      </c>
      <c r="I33" s="5" t="s">
        <v>42</v>
      </c>
      <c r="R33" s="6" t="s">
        <v>196</v>
      </c>
      <c r="S33" s="5" t="s">
        <v>113</v>
      </c>
      <c r="T33" s="6" t="s">
        <v>184</v>
      </c>
      <c r="U33" s="7" t="s">
        <v>197</v>
      </c>
      <c r="V33" s="8" t="str">
        <f t="shared" si="1"/>
        <v/>
      </c>
      <c r="W33" s="8" t="str">
        <f t="shared" si="2"/>
        <v/>
      </c>
      <c r="X33" s="8" t="str">
        <f t="shared" si="3"/>
        <v/>
      </c>
    </row>
    <row r="34">
      <c r="A34" s="5" t="s">
        <v>27</v>
      </c>
      <c r="B34" s="5" t="s">
        <v>90</v>
      </c>
      <c r="C34" s="5"/>
      <c r="D34" s="5" t="s">
        <v>198</v>
      </c>
      <c r="E34" s="5" t="s">
        <v>40</v>
      </c>
      <c r="F34" s="5" t="s">
        <v>184</v>
      </c>
      <c r="G34" s="5">
        <v>2.0</v>
      </c>
      <c r="H34" s="5" t="s">
        <v>41</v>
      </c>
      <c r="I34" s="5" t="s">
        <v>42</v>
      </c>
      <c r="R34" s="6" t="s">
        <v>199</v>
      </c>
      <c r="S34" s="5" t="s">
        <v>200</v>
      </c>
      <c r="T34" s="6" t="s">
        <v>201</v>
      </c>
      <c r="U34" s="7" t="s">
        <v>202</v>
      </c>
      <c r="V34" s="8" t="str">
        <f t="shared" si="1"/>
        <v/>
      </c>
      <c r="W34" s="8" t="str">
        <f t="shared" si="2"/>
        <v/>
      </c>
      <c r="X34" s="8" t="str">
        <f t="shared" si="3"/>
        <v/>
      </c>
    </row>
    <row r="35">
      <c r="A35" s="5" t="s">
        <v>27</v>
      </c>
      <c r="B35" s="5" t="s">
        <v>96</v>
      </c>
      <c r="C35" s="5"/>
      <c r="D35" s="5" t="s">
        <v>203</v>
      </c>
      <c r="E35" s="5" t="s">
        <v>40</v>
      </c>
      <c r="F35" s="5" t="s">
        <v>184</v>
      </c>
      <c r="G35" s="5">
        <v>2.0</v>
      </c>
      <c r="H35" s="5" t="s">
        <v>41</v>
      </c>
      <c r="I35" s="5" t="s">
        <v>42</v>
      </c>
      <c r="R35" s="6" t="s">
        <v>204</v>
      </c>
      <c r="S35" s="5" t="s">
        <v>205</v>
      </c>
      <c r="T35" s="6" t="s">
        <v>206</v>
      </c>
      <c r="U35" s="7" t="s">
        <v>207</v>
      </c>
      <c r="V35" s="8" t="str">
        <f t="shared" si="1"/>
        <v/>
      </c>
      <c r="W35" s="8" t="str">
        <f t="shared" si="2"/>
        <v/>
      </c>
      <c r="X35" s="8" t="str">
        <f t="shared" si="3"/>
        <v/>
      </c>
    </row>
    <row r="36">
      <c r="A36" s="5" t="s">
        <v>27</v>
      </c>
      <c r="B36" s="5" t="s">
        <v>102</v>
      </c>
      <c r="C36" s="5"/>
      <c r="D36" s="5" t="s">
        <v>208</v>
      </c>
      <c r="E36" s="5" t="s">
        <v>40</v>
      </c>
      <c r="F36" s="5" t="s">
        <v>184</v>
      </c>
      <c r="G36" s="5">
        <v>3.0</v>
      </c>
      <c r="H36" s="5" t="s">
        <v>41</v>
      </c>
      <c r="I36" s="5" t="s">
        <v>42</v>
      </c>
      <c r="R36" s="6" t="s">
        <v>209</v>
      </c>
      <c r="S36" s="5" t="s">
        <v>210</v>
      </c>
      <c r="T36" s="6" t="s">
        <v>211</v>
      </c>
      <c r="U36" s="7" t="s">
        <v>212</v>
      </c>
      <c r="V36" s="8" t="str">
        <f t="shared" si="1"/>
        <v/>
      </c>
      <c r="W36" s="8" t="str">
        <f t="shared" si="2"/>
        <v/>
      </c>
      <c r="X36" s="8" t="str">
        <f t="shared" si="3"/>
        <v/>
      </c>
    </row>
    <row r="37">
      <c r="A37" s="5" t="s">
        <v>27</v>
      </c>
      <c r="B37" s="5" t="s">
        <v>110</v>
      </c>
      <c r="C37" s="5"/>
      <c r="D37" s="5" t="s">
        <v>213</v>
      </c>
      <c r="E37" s="5" t="s">
        <v>40</v>
      </c>
      <c r="F37" s="5" t="s">
        <v>184</v>
      </c>
      <c r="G37" s="5">
        <v>3.0</v>
      </c>
      <c r="H37" s="5" t="s">
        <v>41</v>
      </c>
      <c r="I37" s="5" t="s">
        <v>42</v>
      </c>
      <c r="R37" s="6" t="s">
        <v>214</v>
      </c>
      <c r="S37" s="5" t="s">
        <v>215</v>
      </c>
      <c r="T37" s="6" t="s">
        <v>216</v>
      </c>
      <c r="U37" s="7" t="s">
        <v>217</v>
      </c>
      <c r="V37" s="8" t="str">
        <f t="shared" si="1"/>
        <v/>
      </c>
      <c r="W37" s="8" t="str">
        <f t="shared" si="2"/>
        <v/>
      </c>
      <c r="X37" s="8" t="str">
        <f t="shared" si="3"/>
        <v/>
      </c>
    </row>
    <row r="38">
      <c r="A38" s="5" t="s">
        <v>27</v>
      </c>
      <c r="B38" s="5" t="s">
        <v>117</v>
      </c>
      <c r="C38" s="5"/>
      <c r="D38" s="5" t="s">
        <v>218</v>
      </c>
      <c r="E38" s="5" t="s">
        <v>40</v>
      </c>
      <c r="F38" s="5" t="s">
        <v>184</v>
      </c>
      <c r="G38" s="5">
        <v>3.0</v>
      </c>
      <c r="H38" s="5" t="s">
        <v>41</v>
      </c>
      <c r="I38" s="5" t="s">
        <v>42</v>
      </c>
      <c r="R38" s="6" t="s">
        <v>219</v>
      </c>
      <c r="S38" s="5" t="s">
        <v>47</v>
      </c>
      <c r="T38" s="6" t="s">
        <v>220</v>
      </c>
      <c r="U38" s="7" t="s">
        <v>221</v>
      </c>
      <c r="V38" s="8" t="str">
        <f t="shared" si="1"/>
        <v/>
      </c>
      <c r="W38" s="8" t="str">
        <f t="shared" si="2"/>
        <v/>
      </c>
      <c r="X38" s="8" t="str">
        <f t="shared" si="3"/>
        <v/>
      </c>
    </row>
    <row r="39">
      <c r="A39" s="5" t="s">
        <v>27</v>
      </c>
      <c r="B39" s="5" t="s">
        <v>123</v>
      </c>
      <c r="C39" s="5"/>
      <c r="D39" s="5" t="s">
        <v>222</v>
      </c>
      <c r="E39" s="5" t="s">
        <v>40</v>
      </c>
      <c r="F39" s="5" t="s">
        <v>184</v>
      </c>
      <c r="G39" s="5">
        <v>3.0</v>
      </c>
      <c r="H39" s="5" t="s">
        <v>41</v>
      </c>
      <c r="I39" s="5" t="s">
        <v>42</v>
      </c>
      <c r="R39" s="6" t="s">
        <v>223</v>
      </c>
      <c r="S39" s="5" t="s">
        <v>224</v>
      </c>
      <c r="T39" s="6" t="s">
        <v>225</v>
      </c>
      <c r="U39" s="7" t="s">
        <v>226</v>
      </c>
      <c r="V39" s="8" t="str">
        <f t="shared" si="1"/>
        <v/>
      </c>
      <c r="W39" s="8" t="str">
        <f t="shared" si="2"/>
        <v/>
      </c>
      <c r="X39" s="8" t="str">
        <f t="shared" si="3"/>
        <v/>
      </c>
    </row>
    <row r="40">
      <c r="A40" s="5" t="s">
        <v>27</v>
      </c>
      <c r="B40" s="5" t="s">
        <v>129</v>
      </c>
      <c r="C40" s="5"/>
      <c r="D40" s="5" t="s">
        <v>227</v>
      </c>
      <c r="E40" s="5" t="s">
        <v>40</v>
      </c>
      <c r="F40" s="5" t="s">
        <v>184</v>
      </c>
      <c r="G40" s="5">
        <v>3.0</v>
      </c>
      <c r="H40" s="5" t="s">
        <v>41</v>
      </c>
      <c r="I40" s="5" t="s">
        <v>42</v>
      </c>
      <c r="R40" s="6" t="s">
        <v>228</v>
      </c>
      <c r="S40" s="5" t="s">
        <v>150</v>
      </c>
      <c r="T40" s="6" t="s">
        <v>229</v>
      </c>
      <c r="U40" s="7" t="s">
        <v>230</v>
      </c>
      <c r="V40" s="8" t="str">
        <f t="shared" si="1"/>
        <v/>
      </c>
      <c r="W40" s="8" t="str">
        <f t="shared" si="2"/>
        <v/>
      </c>
      <c r="X40" s="8" t="str">
        <f t="shared" si="3"/>
        <v/>
      </c>
    </row>
    <row r="41">
      <c r="A41" s="5" t="s">
        <v>27</v>
      </c>
      <c r="B41" s="5" t="s">
        <v>231</v>
      </c>
      <c r="C41" s="5"/>
      <c r="D41" s="5" t="s">
        <v>232</v>
      </c>
      <c r="E41" s="5" t="s">
        <v>40</v>
      </c>
      <c r="F41" s="5" t="s">
        <v>36</v>
      </c>
      <c r="G41" s="5">
        <v>1.0</v>
      </c>
      <c r="H41" s="5" t="s">
        <v>32</v>
      </c>
      <c r="I41" s="5" t="s">
        <v>51</v>
      </c>
      <c r="R41" s="6" t="s">
        <v>233</v>
      </c>
      <c r="S41" s="5" t="s">
        <v>234</v>
      </c>
      <c r="T41" s="6" t="s">
        <v>235</v>
      </c>
      <c r="U41" s="7" t="s">
        <v>236</v>
      </c>
      <c r="V41" s="8" t="str">
        <f t="shared" si="1"/>
        <v/>
      </c>
      <c r="W41" s="8" t="str">
        <f t="shared" si="2"/>
        <v/>
      </c>
      <c r="X41" s="8" t="str">
        <f t="shared" si="3"/>
        <v/>
      </c>
    </row>
    <row r="42">
      <c r="A42" s="5" t="s">
        <v>27</v>
      </c>
      <c r="B42" s="5" t="s">
        <v>237</v>
      </c>
      <c r="C42" s="5"/>
      <c r="D42" s="5" t="s">
        <v>238</v>
      </c>
      <c r="E42" s="5" t="s">
        <v>107</v>
      </c>
      <c r="F42" s="5" t="s">
        <v>36</v>
      </c>
      <c r="G42" s="5">
        <v>2.0</v>
      </c>
      <c r="H42" s="5" t="s">
        <v>32</v>
      </c>
      <c r="I42" s="5" t="s">
        <v>51</v>
      </c>
      <c r="R42" s="6" t="s">
        <v>239</v>
      </c>
      <c r="S42" s="5" t="s">
        <v>240</v>
      </c>
      <c r="T42" s="6" t="s">
        <v>241</v>
      </c>
      <c r="U42" s="7" t="s">
        <v>242</v>
      </c>
      <c r="V42" s="8" t="str">
        <f t="shared" si="1"/>
        <v/>
      </c>
      <c r="W42" s="8" t="str">
        <f t="shared" si="2"/>
        <v/>
      </c>
      <c r="X42" s="8" t="str">
        <f t="shared" si="3"/>
        <v/>
      </c>
    </row>
    <row r="43">
      <c r="A43" s="5" t="s">
        <v>27</v>
      </c>
      <c r="B43" s="5" t="s">
        <v>215</v>
      </c>
      <c r="C43" s="5"/>
      <c r="D43" s="5" t="s">
        <v>243</v>
      </c>
      <c r="E43" s="5" t="s">
        <v>107</v>
      </c>
      <c r="F43" s="5" t="s">
        <v>36</v>
      </c>
      <c r="G43" s="5">
        <v>2.0</v>
      </c>
      <c r="H43" s="5" t="s">
        <v>244</v>
      </c>
      <c r="I43" s="5" t="s">
        <v>33</v>
      </c>
      <c r="R43" s="6" t="s">
        <v>245</v>
      </c>
      <c r="S43" s="5" t="s">
        <v>246</v>
      </c>
      <c r="T43" s="6" t="s">
        <v>49</v>
      </c>
      <c r="U43" s="7" t="s">
        <v>247</v>
      </c>
      <c r="V43" s="8" t="str">
        <f t="shared" si="1"/>
        <v/>
      </c>
      <c r="W43" s="8" t="str">
        <f t="shared" si="2"/>
        <v/>
      </c>
      <c r="X43" s="8" t="str">
        <f t="shared" si="3"/>
        <v/>
      </c>
    </row>
    <row r="44">
      <c r="A44" s="5" t="s">
        <v>27</v>
      </c>
      <c r="B44" s="5" t="s">
        <v>180</v>
      </c>
      <c r="C44" s="5"/>
      <c r="D44" s="5" t="s">
        <v>181</v>
      </c>
      <c r="E44" s="5" t="s">
        <v>107</v>
      </c>
      <c r="F44" s="5" t="s">
        <v>36</v>
      </c>
      <c r="G44" s="5">
        <v>2.0</v>
      </c>
      <c r="H44" s="5" t="s">
        <v>244</v>
      </c>
      <c r="I44" s="5" t="s">
        <v>33</v>
      </c>
      <c r="R44" s="6" t="s">
        <v>248</v>
      </c>
      <c r="S44" s="5" t="s">
        <v>140</v>
      </c>
      <c r="T44" s="6" t="s">
        <v>249</v>
      </c>
      <c r="U44" s="7" t="s">
        <v>250</v>
      </c>
      <c r="V44" s="8" t="str">
        <f t="shared" si="1"/>
        <v>SSF-134</v>
      </c>
      <c r="W44" s="8" t="str">
        <f t="shared" si="2"/>
        <v>[MOB] Map Screen - Display Vessel's Current trajectory</v>
      </c>
      <c r="X44" s="10" t="str">
        <f t="shared" si="3"/>
        <v>https://citnet.tech.ec.europa.eu/CITnet/jira/browse/SSF-134</v>
      </c>
    </row>
    <row r="45">
      <c r="A45" s="5" t="s">
        <v>27</v>
      </c>
      <c r="B45" s="5" t="s">
        <v>251</v>
      </c>
      <c r="C45" s="5"/>
      <c r="D45" s="5" t="s">
        <v>252</v>
      </c>
      <c r="E45" s="5" t="s">
        <v>107</v>
      </c>
      <c r="F45" s="5" t="s">
        <v>36</v>
      </c>
      <c r="G45" s="5">
        <v>3.0</v>
      </c>
      <c r="H45" s="5" t="s">
        <v>244</v>
      </c>
      <c r="I45" s="5" t="s">
        <v>33</v>
      </c>
      <c r="R45" s="6" t="s">
        <v>237</v>
      </c>
      <c r="S45" s="5" t="s">
        <v>253</v>
      </c>
      <c r="T45" s="6" t="s">
        <v>238</v>
      </c>
      <c r="U45" s="7" t="s">
        <v>254</v>
      </c>
      <c r="V45" s="8" t="str">
        <f t="shared" si="1"/>
        <v>SSF-155</v>
      </c>
      <c r="W45" s="8" t="str">
        <f t="shared" si="2"/>
        <v>{READY} [MOB] Vessel selection quick access</v>
      </c>
      <c r="X45" s="10" t="str">
        <f t="shared" si="3"/>
        <v>https://citnet.tech.ec.europa.eu/CITnet/jira/browse/SSF-155</v>
      </c>
    </row>
    <row r="46">
      <c r="A46" s="5" t="s">
        <v>27</v>
      </c>
      <c r="B46" s="5" t="s">
        <v>140</v>
      </c>
      <c r="C46" s="5"/>
      <c r="D46" s="5" t="s">
        <v>142</v>
      </c>
      <c r="E46" s="5" t="s">
        <v>107</v>
      </c>
      <c r="F46" s="5" t="s">
        <v>255</v>
      </c>
      <c r="G46" s="5">
        <v>2.0</v>
      </c>
      <c r="H46" s="5" t="s">
        <v>256</v>
      </c>
      <c r="I46" s="5" t="s">
        <v>257</v>
      </c>
      <c r="R46" s="6" t="s">
        <v>234</v>
      </c>
      <c r="S46" s="5" t="s">
        <v>180</v>
      </c>
      <c r="T46" s="6" t="s">
        <v>258</v>
      </c>
      <c r="U46" s="7" t="s">
        <v>259</v>
      </c>
      <c r="V46" s="8" t="str">
        <f t="shared" si="1"/>
        <v>SSF-178</v>
      </c>
      <c r="W46" s="8" t="str">
        <f t="shared" si="2"/>
        <v>[MOB] Logout</v>
      </c>
      <c r="X46" s="10" t="str">
        <f t="shared" si="3"/>
        <v>https://citnet.tech.ec.europa.eu/CITnet/jira/browse/SSF-178</v>
      </c>
    </row>
    <row r="47">
      <c r="A47" s="5" t="s">
        <v>27</v>
      </c>
      <c r="B47" s="5" t="s">
        <v>175</v>
      </c>
      <c r="C47" s="5"/>
      <c r="D47" s="5" t="s">
        <v>176</v>
      </c>
      <c r="E47" s="5" t="s">
        <v>40</v>
      </c>
      <c r="F47" s="5" t="s">
        <v>255</v>
      </c>
      <c r="G47" s="5">
        <v>2.0</v>
      </c>
      <c r="H47" s="5" t="s">
        <v>260</v>
      </c>
      <c r="I47" s="5" t="s">
        <v>33</v>
      </c>
      <c r="R47" s="6" t="s">
        <v>240</v>
      </c>
      <c r="S47" s="5" t="s">
        <v>261</v>
      </c>
      <c r="T47" s="6" t="s">
        <v>262</v>
      </c>
      <c r="U47" s="7" t="s">
        <v>263</v>
      </c>
      <c r="V47" s="8" t="str">
        <f t="shared" si="1"/>
        <v>SSF-177</v>
      </c>
      <c r="W47" s="8" t="str">
        <f t="shared" si="2"/>
        <v>[MOB] Handle multi accounts login (case of ongoing tracking session)</v>
      </c>
      <c r="X47" s="10" t="str">
        <f t="shared" si="3"/>
        <v>https://citnet.tech.ec.europa.eu/CITnet/jira/browse/SSF-177</v>
      </c>
    </row>
    <row r="48">
      <c r="A48" s="5" t="s">
        <v>27</v>
      </c>
      <c r="B48" s="5" t="s">
        <v>170</v>
      </c>
      <c r="C48" s="5"/>
      <c r="D48" s="5" t="s">
        <v>171</v>
      </c>
      <c r="E48" s="5" t="s">
        <v>40</v>
      </c>
      <c r="F48" s="5" t="s">
        <v>255</v>
      </c>
      <c r="G48" s="5">
        <v>2.0</v>
      </c>
      <c r="H48" s="5" t="s">
        <v>260</v>
      </c>
      <c r="I48" s="5" t="s">
        <v>33</v>
      </c>
      <c r="R48" s="6" t="s">
        <v>264</v>
      </c>
      <c r="S48" s="5" t="s">
        <v>264</v>
      </c>
      <c r="T48" s="6" t="s">
        <v>265</v>
      </c>
      <c r="U48" s="7" t="s">
        <v>266</v>
      </c>
      <c r="V48" s="8" t="str">
        <f t="shared" si="1"/>
        <v>SSF-168</v>
      </c>
      <c r="W48" s="8" t="str">
        <f t="shared" si="2"/>
        <v>[MOB] Language Override</v>
      </c>
      <c r="X48" s="10" t="str">
        <f t="shared" si="3"/>
        <v>https://citnet.tech.ec.europa.eu/CITnet/jira/browse/SSF-168</v>
      </c>
    </row>
    <row r="49">
      <c r="A49" s="5" t="s">
        <v>27</v>
      </c>
      <c r="B49" s="5" t="s">
        <v>164</v>
      </c>
      <c r="C49" s="5"/>
      <c r="D49" s="5" t="s">
        <v>165</v>
      </c>
      <c r="E49" s="5" t="s">
        <v>267</v>
      </c>
      <c r="F49" s="5" t="s">
        <v>255</v>
      </c>
      <c r="G49" s="5">
        <v>5.0</v>
      </c>
      <c r="H49" s="5" t="s">
        <v>260</v>
      </c>
      <c r="I49" s="5" t="s">
        <v>33</v>
      </c>
      <c r="R49" s="6" t="s">
        <v>231</v>
      </c>
      <c r="S49" s="5" t="s">
        <v>116</v>
      </c>
      <c r="T49" s="6" t="s">
        <v>232</v>
      </c>
      <c r="U49" s="7" t="s">
        <v>268</v>
      </c>
      <c r="V49" s="8" t="str">
        <f t="shared" si="1"/>
        <v>SSF-160</v>
      </c>
      <c r="W49" s="8" t="str">
        <f t="shared" si="2"/>
        <v>[MOB] Fishing Trips Widget</v>
      </c>
      <c r="X49" s="10" t="str">
        <f t="shared" si="3"/>
        <v>https://citnet.tech.ec.europa.eu/CITnet/jira/browse/SSF-160</v>
      </c>
    </row>
    <row r="50">
      <c r="A50" s="5" t="s">
        <v>27</v>
      </c>
      <c r="B50" s="5" t="s">
        <v>8</v>
      </c>
      <c r="C50" s="5"/>
      <c r="D50" s="5" t="s">
        <v>160</v>
      </c>
      <c r="E50" s="5" t="s">
        <v>40</v>
      </c>
      <c r="F50" s="5" t="s">
        <v>255</v>
      </c>
      <c r="G50" s="5">
        <v>2.0</v>
      </c>
      <c r="H50" s="5" t="s">
        <v>256</v>
      </c>
      <c r="I50" s="5" t="s">
        <v>33</v>
      </c>
      <c r="R50" s="6" t="s">
        <v>47</v>
      </c>
      <c r="S50" s="5" t="s">
        <v>28</v>
      </c>
      <c r="T50" s="6" t="s">
        <v>48</v>
      </c>
      <c r="U50" s="7" t="s">
        <v>269</v>
      </c>
      <c r="V50" s="8" t="str">
        <f t="shared" si="1"/>
        <v>SSF-182</v>
      </c>
      <c r="W50" s="8" t="str">
        <f t="shared" si="2"/>
        <v>{DEV READY} [BACK] Endpoint to retrieve vessels data from FMC</v>
      </c>
      <c r="X50" s="10" t="str">
        <f t="shared" si="3"/>
        <v>https://citnet.tech.ec.europa.eu/CITnet/jira/browse/SSF-182</v>
      </c>
    </row>
    <row r="51">
      <c r="A51" s="5" t="s">
        <v>27</v>
      </c>
      <c r="B51" s="5" t="s">
        <v>13</v>
      </c>
      <c r="C51" s="5"/>
      <c r="D51" s="5" t="s">
        <v>156</v>
      </c>
      <c r="E51" s="5" t="s">
        <v>40</v>
      </c>
      <c r="F51" s="5" t="s">
        <v>255</v>
      </c>
      <c r="G51" s="5">
        <v>2.0</v>
      </c>
      <c r="H51" s="5" t="s">
        <v>256</v>
      </c>
      <c r="I51" s="5" t="s">
        <v>33</v>
      </c>
      <c r="R51" s="6" t="s">
        <v>105</v>
      </c>
      <c r="S51" s="5" t="s">
        <v>38</v>
      </c>
      <c r="T51" s="6" t="s">
        <v>106</v>
      </c>
      <c r="U51" s="7" t="s">
        <v>270</v>
      </c>
      <c r="V51" s="8" t="str">
        <f t="shared" si="1"/>
        <v>SSF-140</v>
      </c>
      <c r="W51" s="8" t="str">
        <f t="shared" si="2"/>
        <v>[MOB] Vessel's Empty Gear Management Screen</v>
      </c>
      <c r="X51" s="10" t="str">
        <f t="shared" si="3"/>
        <v>https://citnet.tech.ec.europa.eu/CITnet/jira/browse/SSF-140</v>
      </c>
    </row>
    <row r="52">
      <c r="A52" s="5" t="s">
        <v>27</v>
      </c>
      <c r="B52" s="5" t="s">
        <v>261</v>
      </c>
      <c r="C52" s="5"/>
      <c r="D52" s="5" t="s">
        <v>271</v>
      </c>
      <c r="E52" s="5" t="s">
        <v>40</v>
      </c>
      <c r="F52" s="5" t="s">
        <v>272</v>
      </c>
      <c r="G52" s="5">
        <v>5.0</v>
      </c>
      <c r="H52" s="5" t="s">
        <v>273</v>
      </c>
      <c r="I52" s="5" t="s">
        <v>51</v>
      </c>
      <c r="R52" s="6" t="s">
        <v>178</v>
      </c>
      <c r="S52" s="5" t="s">
        <v>231</v>
      </c>
      <c r="T52" s="6" t="s">
        <v>179</v>
      </c>
      <c r="U52" s="7" t="s">
        <v>274</v>
      </c>
      <c r="V52" s="8" t="str">
        <f t="shared" si="1"/>
        <v>SSF-141</v>
      </c>
      <c r="W52" s="8" t="str">
        <f t="shared" si="2"/>
        <v>[MOB] Register new gear - Init Creation Form</v>
      </c>
      <c r="X52" s="10" t="str">
        <f t="shared" si="3"/>
        <v>https://citnet.tech.ec.europa.eu/CITnet/jira/browse/SSF-141</v>
      </c>
    </row>
    <row r="53">
      <c r="A53" s="5" t="s">
        <v>27</v>
      </c>
      <c r="B53" s="5" t="s">
        <v>264</v>
      </c>
      <c r="C53" s="5"/>
      <c r="D53" s="5" t="s">
        <v>265</v>
      </c>
      <c r="E53" s="5" t="s">
        <v>40</v>
      </c>
      <c r="F53" s="5" t="s">
        <v>272</v>
      </c>
      <c r="G53" s="5">
        <v>5.0</v>
      </c>
      <c r="H53" s="5" t="s">
        <v>275</v>
      </c>
      <c r="I53" s="5" t="s">
        <v>51</v>
      </c>
      <c r="R53" s="6" t="s">
        <v>173</v>
      </c>
      <c r="S53" s="5" t="s">
        <v>276</v>
      </c>
      <c r="T53" s="6" t="s">
        <v>174</v>
      </c>
      <c r="U53" s="7" t="s">
        <v>277</v>
      </c>
      <c r="V53" s="8" t="str">
        <f t="shared" si="1"/>
        <v>SSF-142</v>
      </c>
      <c r="W53" s="8" t="str">
        <f t="shared" si="2"/>
        <v>[MOB] Register new gear - Form submission</v>
      </c>
      <c r="X53" s="10" t="str">
        <f t="shared" si="3"/>
        <v>https://citnet.tech.ec.europa.eu/CITnet/jira/browse/SSF-142</v>
      </c>
    </row>
    <row r="54">
      <c r="A54" s="5" t="s">
        <v>27</v>
      </c>
      <c r="B54" s="5" t="s">
        <v>116</v>
      </c>
      <c r="C54" s="5"/>
      <c r="D54" s="5" t="s">
        <v>118</v>
      </c>
      <c r="E54" s="5" t="s">
        <v>278</v>
      </c>
      <c r="F54" s="5" t="s">
        <v>272</v>
      </c>
      <c r="G54" s="5">
        <v>3.0</v>
      </c>
      <c r="H54" s="5" t="s">
        <v>244</v>
      </c>
      <c r="I54" s="5" t="s">
        <v>257</v>
      </c>
      <c r="R54" s="6" t="s">
        <v>167</v>
      </c>
      <c r="S54" s="5" t="s">
        <v>237</v>
      </c>
      <c r="T54" s="6" t="s">
        <v>168</v>
      </c>
      <c r="U54" s="7" t="s">
        <v>279</v>
      </c>
      <c r="V54" s="8" t="str">
        <f t="shared" si="1"/>
        <v>SSF-143</v>
      </c>
      <c r="W54" s="8" t="str">
        <f t="shared" si="2"/>
        <v>[MOB] Register new gear - Gear characteristics</v>
      </c>
      <c r="X54" s="10" t="str">
        <f t="shared" si="3"/>
        <v>https://citnet.tech.ec.europa.eu/CITnet/jira/browse/SSF-143</v>
      </c>
    </row>
    <row r="55">
      <c r="A55" s="5" t="s">
        <v>27</v>
      </c>
      <c r="B55" s="5" t="s">
        <v>210</v>
      </c>
      <c r="C55" s="5"/>
      <c r="D55" s="5" t="s">
        <v>280</v>
      </c>
      <c r="E55" s="5" t="s">
        <v>40</v>
      </c>
      <c r="F55" s="5" t="s">
        <v>25</v>
      </c>
      <c r="G55" s="5">
        <v>2.0</v>
      </c>
      <c r="H55" s="5" t="s">
        <v>32</v>
      </c>
      <c r="I55" s="5" t="s">
        <v>51</v>
      </c>
      <c r="R55" s="6" t="s">
        <v>162</v>
      </c>
      <c r="S55" s="5" t="s">
        <v>251</v>
      </c>
      <c r="T55" s="6" t="s">
        <v>163</v>
      </c>
      <c r="U55" s="7" t="s">
        <v>281</v>
      </c>
      <c r="V55" s="8" t="str">
        <f t="shared" si="1"/>
        <v>SSF-144</v>
      </c>
      <c r="W55" s="8" t="str">
        <f t="shared" si="2"/>
        <v>[MOB] Vessel's Gear Screen - Gear List</v>
      </c>
      <c r="X55" s="10" t="str">
        <f t="shared" si="3"/>
        <v>https://citnet.tech.ec.europa.eu/CITnet/jira/browse/SSF-144</v>
      </c>
    </row>
    <row r="56">
      <c r="A56" s="5" t="s">
        <v>27</v>
      </c>
      <c r="B56" s="5" t="s">
        <v>224</v>
      </c>
      <c r="C56" s="5"/>
      <c r="D56" s="5" t="s">
        <v>282</v>
      </c>
      <c r="E56" s="5" t="s">
        <v>40</v>
      </c>
      <c r="F56" s="5" t="s">
        <v>25</v>
      </c>
      <c r="G56" s="5">
        <v>3.0</v>
      </c>
      <c r="H56" s="5" t="s">
        <v>50</v>
      </c>
      <c r="I56" s="5" t="s">
        <v>51</v>
      </c>
      <c r="R56" s="6" t="s">
        <v>158</v>
      </c>
      <c r="S56" s="5" t="s">
        <v>120</v>
      </c>
      <c r="T56" s="6" t="s">
        <v>159</v>
      </c>
      <c r="U56" s="7" t="s">
        <v>283</v>
      </c>
      <c r="V56" s="8" t="str">
        <f t="shared" si="1"/>
        <v>SSF-145</v>
      </c>
      <c r="W56" s="8" t="str">
        <f t="shared" si="2"/>
        <v>[MOB] Edit Gear</v>
      </c>
      <c r="X56" s="10" t="str">
        <f t="shared" si="3"/>
        <v>https://citnet.tech.ec.europa.eu/CITnet/jira/browse/SSF-145</v>
      </c>
    </row>
    <row r="57">
      <c r="A57" s="5" t="s">
        <v>27</v>
      </c>
      <c r="B57" s="5" t="s">
        <v>234</v>
      </c>
      <c r="C57" s="5"/>
      <c r="D57" s="5" t="s">
        <v>258</v>
      </c>
      <c r="E57" s="5" t="s">
        <v>40</v>
      </c>
      <c r="F57" s="5" t="s">
        <v>25</v>
      </c>
      <c r="G57" s="5">
        <v>5.0</v>
      </c>
      <c r="H57" s="5" t="s">
        <v>32</v>
      </c>
      <c r="I57" s="5" t="s">
        <v>51</v>
      </c>
      <c r="R57" s="6" t="s">
        <v>154</v>
      </c>
      <c r="S57" s="5" t="s">
        <v>126</v>
      </c>
      <c r="T57" s="6" t="s">
        <v>155</v>
      </c>
      <c r="U57" s="7" t="s">
        <v>284</v>
      </c>
      <c r="V57" s="8" t="str">
        <f t="shared" si="1"/>
        <v>SSF-146</v>
      </c>
      <c r="W57" s="8" t="str">
        <f t="shared" si="2"/>
        <v>[MOB] Delete Gear</v>
      </c>
      <c r="X57" s="10" t="str">
        <f t="shared" si="3"/>
        <v>https://citnet.tech.ec.europa.eu/CITnet/jira/browse/SSF-146</v>
      </c>
    </row>
    <row r="58">
      <c r="A58" s="5" t="s">
        <v>27</v>
      </c>
      <c r="B58" s="5" t="s">
        <v>240</v>
      </c>
      <c r="C58" s="5"/>
      <c r="D58" s="5" t="s">
        <v>262</v>
      </c>
      <c r="E58" s="5" t="s">
        <v>40</v>
      </c>
      <c r="F58" s="5" t="s">
        <v>25</v>
      </c>
      <c r="G58" s="5">
        <v>5.0</v>
      </c>
      <c r="H58" s="5" t="s">
        <v>32</v>
      </c>
      <c r="I58" s="5" t="s">
        <v>51</v>
      </c>
      <c r="R58" s="6" t="s">
        <v>148</v>
      </c>
      <c r="S58" s="5" t="s">
        <v>132</v>
      </c>
      <c r="T58" s="6" t="s">
        <v>149</v>
      </c>
      <c r="U58" s="7" t="s">
        <v>285</v>
      </c>
      <c r="V58" s="8" t="str">
        <f t="shared" si="1"/>
        <v>SSF-147</v>
      </c>
      <c r="W58" s="8" t="str">
        <f t="shared" si="2"/>
        <v>[BACK] Register new gear</v>
      </c>
      <c r="X58" s="10" t="str">
        <f t="shared" si="3"/>
        <v>https://citnet.tech.ec.europa.eu/CITnet/jira/browse/SSF-147</v>
      </c>
    </row>
    <row r="59">
      <c r="A59" s="5" t="s">
        <v>27</v>
      </c>
      <c r="B59" s="5" t="s">
        <v>135</v>
      </c>
      <c r="C59" s="5"/>
      <c r="D59" s="5" t="s">
        <v>146</v>
      </c>
      <c r="E59" s="5" t="s">
        <v>40</v>
      </c>
      <c r="F59" s="5" t="s">
        <v>25</v>
      </c>
      <c r="G59" s="5">
        <v>2.0</v>
      </c>
      <c r="H59" s="5" t="s">
        <v>244</v>
      </c>
      <c r="I59" s="5" t="s">
        <v>257</v>
      </c>
      <c r="R59" s="6" t="s">
        <v>144</v>
      </c>
      <c r="S59" s="5" t="s">
        <v>138</v>
      </c>
      <c r="T59" s="6" t="s">
        <v>145</v>
      </c>
      <c r="U59" s="7" t="s">
        <v>286</v>
      </c>
      <c r="V59" s="8" t="str">
        <f t="shared" si="1"/>
        <v>SSF-148</v>
      </c>
      <c r="W59" s="8" t="str">
        <f t="shared" si="2"/>
        <v>[BACK] List of vessel's gear - New Gear</v>
      </c>
      <c r="X59" s="10" t="str">
        <f t="shared" si="3"/>
        <v>https://citnet.tech.ec.europa.eu/CITnet/jira/browse/SSF-148</v>
      </c>
    </row>
    <row r="60">
      <c r="A60" s="5" t="s">
        <v>27</v>
      </c>
      <c r="B60" s="5" t="s">
        <v>141</v>
      </c>
      <c r="C60" s="5"/>
      <c r="D60" s="5" t="s">
        <v>287</v>
      </c>
      <c r="E60" s="5" t="s">
        <v>40</v>
      </c>
      <c r="F60" s="5" t="s">
        <v>25</v>
      </c>
      <c r="G60" s="5">
        <v>3.0</v>
      </c>
      <c r="H60" s="5" t="s">
        <v>244</v>
      </c>
      <c r="I60" s="5" t="s">
        <v>257</v>
      </c>
      <c r="R60" s="6" t="s">
        <v>132</v>
      </c>
      <c r="S60" s="5" t="s">
        <v>144</v>
      </c>
      <c r="T60" s="6" t="s">
        <v>133</v>
      </c>
      <c r="U60" s="7" t="s">
        <v>288</v>
      </c>
      <c r="V60" s="8" t="str">
        <f t="shared" si="1"/>
        <v>SSF-150</v>
      </c>
      <c r="W60" s="8" t="str">
        <f t="shared" si="2"/>
        <v>[BACK] Edit Gear</v>
      </c>
      <c r="X60" s="10" t="str">
        <f t="shared" si="3"/>
        <v>https://citnet.tech.ec.europa.eu/CITnet/jira/browse/SSF-150</v>
      </c>
    </row>
    <row r="61">
      <c r="A61" s="5" t="s">
        <v>27</v>
      </c>
      <c r="B61" s="5" t="s">
        <v>289</v>
      </c>
      <c r="C61" s="5"/>
      <c r="D61" s="5" t="s">
        <v>290</v>
      </c>
      <c r="E61" s="5" t="s">
        <v>107</v>
      </c>
      <c r="F61" s="5" t="s">
        <v>25</v>
      </c>
      <c r="G61" s="5">
        <v>5.0</v>
      </c>
      <c r="H61" s="5" t="s">
        <v>260</v>
      </c>
      <c r="I61" s="5" t="s">
        <v>257</v>
      </c>
      <c r="R61" s="6" t="s">
        <v>138</v>
      </c>
      <c r="S61" s="5" t="s">
        <v>148</v>
      </c>
      <c r="T61" s="6" t="s">
        <v>139</v>
      </c>
      <c r="U61" s="7" t="s">
        <v>291</v>
      </c>
      <c r="V61" s="8" t="str">
        <f t="shared" si="1"/>
        <v>SSF-149</v>
      </c>
      <c r="W61" s="8" t="str">
        <f t="shared" si="2"/>
        <v>[BACK] List of vessel's gear - Retrieval</v>
      </c>
      <c r="X61" s="10" t="str">
        <f t="shared" si="3"/>
        <v>https://citnet.tech.ec.europa.eu/CITnet/jira/browse/SSF-149</v>
      </c>
    </row>
    <row r="62">
      <c r="A62" s="5" t="s">
        <v>27</v>
      </c>
      <c r="B62" s="5" t="s">
        <v>109</v>
      </c>
      <c r="C62" s="5"/>
      <c r="D62" s="5" t="s">
        <v>111</v>
      </c>
      <c r="E62" s="5" t="s">
        <v>278</v>
      </c>
      <c r="F62" s="5" t="s">
        <v>25</v>
      </c>
      <c r="G62" s="5">
        <v>3.0</v>
      </c>
      <c r="H62" s="5" t="s">
        <v>244</v>
      </c>
      <c r="I62" s="5" t="s">
        <v>257</v>
      </c>
      <c r="R62" s="6" t="s">
        <v>126</v>
      </c>
      <c r="S62" s="5" t="s">
        <v>154</v>
      </c>
      <c r="T62" s="6" t="s">
        <v>127</v>
      </c>
      <c r="U62" s="7" t="s">
        <v>292</v>
      </c>
      <c r="V62" s="8" t="str">
        <f t="shared" si="1"/>
        <v>SSF-151</v>
      </c>
      <c r="W62" s="8" t="str">
        <f t="shared" si="2"/>
        <v>[BACK] Delete Gear</v>
      </c>
      <c r="X62" s="10" t="str">
        <f t="shared" si="3"/>
        <v>https://citnet.tech.ec.europa.eu/CITnet/jira/browse/SSF-151</v>
      </c>
    </row>
    <row r="63">
      <c r="A63" s="5" t="s">
        <v>27</v>
      </c>
      <c r="B63" s="5" t="s">
        <v>95</v>
      </c>
      <c r="C63" s="5"/>
      <c r="D63" s="5" t="s">
        <v>97</v>
      </c>
      <c r="E63" s="5" t="s">
        <v>267</v>
      </c>
      <c r="F63" s="5" t="s">
        <v>25</v>
      </c>
      <c r="G63" s="5">
        <v>2.0</v>
      </c>
      <c r="H63" s="5" t="s">
        <v>244</v>
      </c>
      <c r="I63" s="5" t="s">
        <v>257</v>
      </c>
      <c r="R63" s="6" t="s">
        <v>120</v>
      </c>
      <c r="S63" s="5" t="s">
        <v>158</v>
      </c>
      <c r="T63" s="6" t="s">
        <v>121</v>
      </c>
      <c r="U63" s="7" t="s">
        <v>293</v>
      </c>
      <c r="V63" s="8" t="str">
        <f t="shared" si="1"/>
        <v>SSF-152</v>
      </c>
      <c r="W63" s="8" t="str">
        <f t="shared" si="2"/>
        <v>[BACK] Error Management / Security</v>
      </c>
      <c r="X63" s="10" t="str">
        <f t="shared" si="3"/>
        <v>https://citnet.tech.ec.europa.eu/CITnet/jira/browse/SSF-152</v>
      </c>
    </row>
    <row r="64">
      <c r="A64" s="5" t="s">
        <v>27</v>
      </c>
      <c r="B64" s="5" t="s">
        <v>101</v>
      </c>
      <c r="C64" s="5"/>
      <c r="D64" s="5" t="s">
        <v>103</v>
      </c>
      <c r="E64" s="5" t="s">
        <v>278</v>
      </c>
      <c r="F64" s="5" t="s">
        <v>25</v>
      </c>
      <c r="G64" s="5">
        <v>1.0</v>
      </c>
      <c r="H64" s="5" t="s">
        <v>244</v>
      </c>
      <c r="I64" s="5" t="s">
        <v>257</v>
      </c>
      <c r="R64" s="6" t="s">
        <v>113</v>
      </c>
      <c r="S64" s="5" t="s">
        <v>162</v>
      </c>
      <c r="T64" s="6" t="s">
        <v>114</v>
      </c>
      <c r="U64" s="7" t="s">
        <v>294</v>
      </c>
      <c r="V64" s="8" t="str">
        <f t="shared" si="1"/>
        <v>SSF-188</v>
      </c>
      <c r="W64" s="8" t="str">
        <f t="shared" si="2"/>
        <v>[MOB] Error Management / Messages</v>
      </c>
      <c r="X64" s="10" t="str">
        <f t="shared" si="3"/>
        <v>https://citnet.tech.ec.europa.eu/CITnet/jira/browse/SSF-188</v>
      </c>
    </row>
    <row r="65">
      <c r="A65" s="5" t="s">
        <v>27</v>
      </c>
      <c r="B65" s="5" t="s">
        <v>253</v>
      </c>
      <c r="C65" s="5"/>
      <c r="D65" s="5" t="s">
        <v>295</v>
      </c>
      <c r="E65" s="5" t="s">
        <v>107</v>
      </c>
      <c r="F65" s="5" t="s">
        <v>25</v>
      </c>
      <c r="G65" s="5">
        <v>3.0</v>
      </c>
      <c r="H65" s="5" t="s">
        <v>244</v>
      </c>
      <c r="I65" s="5" t="s">
        <v>296</v>
      </c>
      <c r="R65" s="6" t="s">
        <v>205</v>
      </c>
      <c r="S65" s="5" t="s">
        <v>167</v>
      </c>
      <c r="T65" s="6" t="s">
        <v>297</v>
      </c>
      <c r="U65" s="7" t="s">
        <v>298</v>
      </c>
      <c r="V65" s="8" t="str">
        <f t="shared" si="1"/>
        <v>SSF-186</v>
      </c>
      <c r="W65" s="8" t="str">
        <f t="shared" si="2"/>
        <v>[BACK] Backend's status Endpoint</v>
      </c>
      <c r="X65" s="10" t="str">
        <f t="shared" si="3"/>
        <v>https://citnet.tech.ec.europa.eu/CITnet/jira/browse/SSF-186</v>
      </c>
    </row>
    <row r="66">
      <c r="A66" s="5" t="s">
        <v>27</v>
      </c>
      <c r="B66" s="5" t="s">
        <v>299</v>
      </c>
      <c r="C66" s="5"/>
      <c r="D66" s="5" t="s">
        <v>300</v>
      </c>
      <c r="E66" s="5" t="s">
        <v>107</v>
      </c>
      <c r="F66" s="5" t="s">
        <v>25</v>
      </c>
      <c r="G66" s="5">
        <v>3.0</v>
      </c>
      <c r="H66" s="5" t="s">
        <v>260</v>
      </c>
      <c r="I66" s="5" t="s">
        <v>296</v>
      </c>
      <c r="R66" s="6" t="s">
        <v>200</v>
      </c>
      <c r="S66" s="5" t="s">
        <v>173</v>
      </c>
      <c r="T66" s="6" t="s">
        <v>301</v>
      </c>
      <c r="U66" s="7" t="s">
        <v>302</v>
      </c>
      <c r="V66" s="8" t="str">
        <f t="shared" si="1"/>
        <v>SSF-187</v>
      </c>
      <c r="W66" s="8" t="str">
        <f t="shared" si="2"/>
        <v>[BACK] Audit logs generation and storage</v>
      </c>
      <c r="X66" s="10" t="str">
        <f t="shared" si="3"/>
        <v>https://citnet.tech.ec.europa.eu/CITnet/jira/browse/SSF-187</v>
      </c>
    </row>
    <row r="67">
      <c r="A67" s="5" t="s">
        <v>27</v>
      </c>
      <c r="B67" s="5" t="s">
        <v>303</v>
      </c>
      <c r="C67" s="5"/>
      <c r="D67" s="5" t="s">
        <v>304</v>
      </c>
      <c r="E67" s="5" t="s">
        <v>107</v>
      </c>
      <c r="F67" s="5" t="s">
        <v>25</v>
      </c>
      <c r="G67" s="5">
        <v>2.0</v>
      </c>
      <c r="H67" s="5" t="s">
        <v>244</v>
      </c>
      <c r="I67" s="5" t="s">
        <v>296</v>
      </c>
      <c r="R67" s="6" t="s">
        <v>38</v>
      </c>
      <c r="S67" s="5" t="s">
        <v>178</v>
      </c>
      <c r="T67" s="6" t="s">
        <v>39</v>
      </c>
      <c r="U67" s="7" t="s">
        <v>305</v>
      </c>
      <c r="V67" s="8" t="str">
        <f t="shared" si="1"/>
        <v>SSF-163</v>
      </c>
      <c r="W67" s="8" t="str">
        <f t="shared" si="2"/>
        <v>{READY} [MOB] Display the menu</v>
      </c>
      <c r="X67" s="10" t="str">
        <f t="shared" si="3"/>
        <v>https://citnet.tech.ec.europa.eu/CITnet/jira/browse/SSF-163</v>
      </c>
    </row>
    <row r="68">
      <c r="A68" s="5" t="s">
        <v>27</v>
      </c>
      <c r="B68" s="5" t="s">
        <v>246</v>
      </c>
      <c r="C68" s="5"/>
      <c r="D68" s="5" t="s">
        <v>306</v>
      </c>
      <c r="E68" s="5" t="s">
        <v>107</v>
      </c>
      <c r="F68" s="5" t="s">
        <v>25</v>
      </c>
      <c r="G68" s="5">
        <v>3.0</v>
      </c>
      <c r="H68" s="5" t="s">
        <v>244</v>
      </c>
      <c r="I68" s="5" t="s">
        <v>33</v>
      </c>
      <c r="R68" s="6" t="s">
        <v>99</v>
      </c>
      <c r="S68" s="5" t="s">
        <v>105</v>
      </c>
      <c r="T68" s="6" t="s">
        <v>100</v>
      </c>
      <c r="U68" s="7" t="s">
        <v>307</v>
      </c>
      <c r="V68" s="8" t="str">
        <f t="shared" si="1"/>
        <v>SSF-189</v>
      </c>
      <c r="W68" s="8" t="str">
        <f t="shared" si="2"/>
        <v>[MOB] Departure Port selection</v>
      </c>
      <c r="X68" s="10" t="str">
        <f t="shared" si="3"/>
        <v>https://citnet.tech.ec.europa.eu/CITnet/jira/browse/SSF-189</v>
      </c>
    </row>
    <row r="69">
      <c r="A69" s="5" t="s">
        <v>27</v>
      </c>
      <c r="B69" s="5" t="s">
        <v>200</v>
      </c>
      <c r="C69" s="5"/>
      <c r="D69" s="5" t="s">
        <v>301</v>
      </c>
      <c r="E69" s="5" t="s">
        <v>40</v>
      </c>
      <c r="F69" s="5" t="s">
        <v>308</v>
      </c>
      <c r="G69" s="5">
        <v>5.0</v>
      </c>
      <c r="H69" s="5" t="s">
        <v>83</v>
      </c>
      <c r="I69" s="5" t="s">
        <v>42</v>
      </c>
      <c r="R69" s="6" t="s">
        <v>93</v>
      </c>
      <c r="S69" s="5" t="s">
        <v>309</v>
      </c>
      <c r="T69" s="6" t="s">
        <v>94</v>
      </c>
      <c r="U69" s="7" t="s">
        <v>310</v>
      </c>
      <c r="V69" s="8" t="str">
        <f t="shared" si="1"/>
        <v>SSF-190</v>
      </c>
      <c r="W69" s="8" t="str">
        <f t="shared" si="2"/>
        <v>[BACK] Data import endpoint</v>
      </c>
      <c r="X69" s="10" t="str">
        <f t="shared" si="3"/>
        <v>https://citnet.tech.ec.europa.eu/CITnet/jira/browse/SSF-190</v>
      </c>
    </row>
    <row r="70">
      <c r="A70" s="5" t="s">
        <v>27</v>
      </c>
      <c r="B70" s="5" t="s">
        <v>205</v>
      </c>
      <c r="C70" s="5"/>
      <c r="D70" s="5" t="s">
        <v>297</v>
      </c>
      <c r="E70" s="5" t="s">
        <v>40</v>
      </c>
      <c r="F70" s="5" t="s">
        <v>308</v>
      </c>
      <c r="G70" s="5">
        <v>3.0</v>
      </c>
      <c r="H70" s="5" t="s">
        <v>83</v>
      </c>
      <c r="I70" s="5" t="s">
        <v>42</v>
      </c>
      <c r="R70" s="6" t="s">
        <v>87</v>
      </c>
      <c r="S70" s="5" t="s">
        <v>311</v>
      </c>
      <c r="T70" s="6" t="s">
        <v>88</v>
      </c>
      <c r="U70" s="7" t="s">
        <v>312</v>
      </c>
      <c r="V70" s="8" t="str">
        <f t="shared" si="1"/>
        <v>SSF-191</v>
      </c>
      <c r="W70" s="8" t="str">
        <f t="shared" si="2"/>
        <v>[MOB] Gears onboard</v>
      </c>
      <c r="X70" s="10" t="str">
        <f t="shared" si="3"/>
        <v>https://citnet.tech.ec.europa.eu/CITnet/jira/browse/SSF-191</v>
      </c>
    </row>
    <row r="71">
      <c r="A71" s="5" t="s">
        <v>27</v>
      </c>
      <c r="B71" s="5" t="s">
        <v>309</v>
      </c>
      <c r="C71" s="5"/>
      <c r="D71" s="5" t="s">
        <v>313</v>
      </c>
      <c r="E71" s="5" t="s">
        <v>40</v>
      </c>
      <c r="F71" s="5" t="s">
        <v>45</v>
      </c>
      <c r="G71" s="5">
        <v>3.0</v>
      </c>
      <c r="H71" s="5" t="s">
        <v>32</v>
      </c>
      <c r="I71" s="5" t="s">
        <v>314</v>
      </c>
      <c r="R71" s="6" t="s">
        <v>81</v>
      </c>
      <c r="S71" s="5" t="s">
        <v>315</v>
      </c>
      <c r="T71" s="6" t="s">
        <v>82</v>
      </c>
      <c r="U71" s="7" t="s">
        <v>316</v>
      </c>
      <c r="V71" s="8" t="str">
        <f t="shared" si="1"/>
        <v>SSF-192</v>
      </c>
      <c r="W71" s="8" t="str">
        <f t="shared" si="2"/>
        <v>[BACK] Submit Departure Declaration</v>
      </c>
      <c r="X71" s="10" t="str">
        <f t="shared" si="3"/>
        <v>https://citnet.tech.ec.europa.eu/CITnet/jira/browse/SSF-192</v>
      </c>
    </row>
    <row r="72">
      <c r="A72" s="5" t="s">
        <v>27</v>
      </c>
      <c r="B72" s="5" t="s">
        <v>311</v>
      </c>
      <c r="C72" s="5"/>
      <c r="D72" s="5" t="s">
        <v>317</v>
      </c>
      <c r="E72" s="5" t="s">
        <v>40</v>
      </c>
      <c r="F72" s="5" t="s">
        <v>45</v>
      </c>
      <c r="G72" s="5">
        <v>3.0</v>
      </c>
      <c r="H72" s="5" t="s">
        <v>32</v>
      </c>
      <c r="I72" s="5" t="s">
        <v>314</v>
      </c>
      <c r="R72" s="6" t="s">
        <v>75</v>
      </c>
      <c r="S72" s="5" t="s">
        <v>318</v>
      </c>
      <c r="T72" s="6" t="s">
        <v>76</v>
      </c>
      <c r="U72" s="7" t="s">
        <v>319</v>
      </c>
      <c r="V72" s="8" t="str">
        <f t="shared" si="1"/>
        <v>SSF-193</v>
      </c>
      <c r="W72" s="8" t="str">
        <f t="shared" si="2"/>
        <v>[MOB] Departure Declaration Recap Screen</v>
      </c>
      <c r="X72" s="10" t="str">
        <f t="shared" si="3"/>
        <v>https://citnet.tech.ec.europa.eu/CITnet/jira/browse/SSF-193</v>
      </c>
    </row>
    <row r="73">
      <c r="A73" s="5" t="s">
        <v>27</v>
      </c>
      <c r="B73" s="5" t="s">
        <v>315</v>
      </c>
      <c r="C73" s="5"/>
      <c r="D73" s="5" t="s">
        <v>320</v>
      </c>
      <c r="E73" s="5" t="s">
        <v>40</v>
      </c>
      <c r="F73" s="5" t="s">
        <v>45</v>
      </c>
      <c r="G73" s="5">
        <v>8.0</v>
      </c>
      <c r="H73" s="5" t="s">
        <v>321</v>
      </c>
      <c r="I73" s="5" t="s">
        <v>314</v>
      </c>
      <c r="R73" s="6" t="s">
        <v>69</v>
      </c>
      <c r="S73" s="5" t="s">
        <v>322</v>
      </c>
      <c r="T73" s="6" t="s">
        <v>70</v>
      </c>
      <c r="U73" s="7" t="s">
        <v>323</v>
      </c>
      <c r="V73" s="8" t="str">
        <f t="shared" si="1"/>
        <v>SSF-194</v>
      </c>
      <c r="W73" s="8" t="str">
        <f t="shared" si="2"/>
        <v>[MOB] Submit Departure Declaration</v>
      </c>
      <c r="X73" s="10" t="str">
        <f t="shared" si="3"/>
        <v>https://citnet.tech.ec.europa.eu/CITnet/jira/browse/SSF-194</v>
      </c>
    </row>
    <row r="74">
      <c r="A74" s="5" t="s">
        <v>27</v>
      </c>
      <c r="B74" s="5" t="s">
        <v>318</v>
      </c>
      <c r="C74" s="5"/>
      <c r="D74" s="5" t="s">
        <v>324</v>
      </c>
      <c r="E74" s="5" t="s">
        <v>40</v>
      </c>
      <c r="F74" s="5" t="s">
        <v>45</v>
      </c>
      <c r="G74" s="5">
        <v>8.0</v>
      </c>
      <c r="H74" s="5" t="s">
        <v>32</v>
      </c>
      <c r="I74" s="5" t="s">
        <v>314</v>
      </c>
      <c r="R74" s="6" t="s">
        <v>63</v>
      </c>
      <c r="S74" s="5" t="s">
        <v>248</v>
      </c>
      <c r="T74" s="6" t="s">
        <v>64</v>
      </c>
      <c r="U74" s="7" t="s">
        <v>325</v>
      </c>
      <c r="V74" s="8" t="str">
        <f t="shared" si="1"/>
        <v>SSF-195</v>
      </c>
      <c r="W74" s="8" t="str">
        <f t="shared" si="2"/>
        <v>[MOB] Declare Catches onboard</v>
      </c>
      <c r="X74" s="10" t="str">
        <f t="shared" si="3"/>
        <v>https://citnet.tech.ec.europa.eu/CITnet/jira/browse/SSF-195</v>
      </c>
    </row>
    <row r="75">
      <c r="A75" s="5" t="s">
        <v>27</v>
      </c>
      <c r="B75" s="5" t="s">
        <v>322</v>
      </c>
      <c r="C75" s="5"/>
      <c r="D75" s="5" t="s">
        <v>326</v>
      </c>
      <c r="E75" s="5" t="s">
        <v>40</v>
      </c>
      <c r="F75" s="5" t="s">
        <v>45</v>
      </c>
      <c r="G75" s="5">
        <v>3.0</v>
      </c>
      <c r="H75" s="5" t="s">
        <v>32</v>
      </c>
      <c r="I75" s="5" t="s">
        <v>314</v>
      </c>
      <c r="R75" s="6" t="s">
        <v>56</v>
      </c>
      <c r="S75" s="5" t="s">
        <v>327</v>
      </c>
      <c r="T75" s="6" t="s">
        <v>57</v>
      </c>
      <c r="U75" s="7" t="s">
        <v>328</v>
      </c>
      <c r="V75" s="8" t="str">
        <f t="shared" si="1"/>
        <v>SSF-196</v>
      </c>
      <c r="W75" s="8" t="str">
        <f t="shared" si="2"/>
        <v>[MOB] Catches preference</v>
      </c>
      <c r="X75" s="10" t="str">
        <f t="shared" si="3"/>
        <v>https://citnet.tech.ec.europa.eu/CITnet/jira/browse/SSF-196</v>
      </c>
    </row>
    <row r="76">
      <c r="A76" s="5" t="s">
        <v>27</v>
      </c>
      <c r="B76" s="5" t="s">
        <v>248</v>
      </c>
      <c r="C76" s="5"/>
      <c r="D76" s="5" t="s">
        <v>249</v>
      </c>
      <c r="E76" s="5" t="s">
        <v>107</v>
      </c>
      <c r="F76" s="5" t="s">
        <v>45</v>
      </c>
      <c r="G76" s="5">
        <v>3.0</v>
      </c>
      <c r="H76" s="5" t="s">
        <v>244</v>
      </c>
      <c r="I76" s="5" t="s">
        <v>33</v>
      </c>
      <c r="R76" s="6" t="s">
        <v>129</v>
      </c>
      <c r="S76" s="5" t="s">
        <v>289</v>
      </c>
      <c r="T76" s="6" t="s">
        <v>227</v>
      </c>
      <c r="U76" s="7" t="s">
        <v>329</v>
      </c>
      <c r="V76" s="8" t="str">
        <f t="shared" si="1"/>
        <v>SSF-205</v>
      </c>
      <c r="W76" s="8" t="str">
        <f t="shared" si="2"/>
        <v>[MOB] Hauls screen</v>
      </c>
      <c r="X76" s="10" t="str">
        <f t="shared" si="3"/>
        <v>https://citnet.tech.ec.europa.eu/CITnet/jira/browse/SSF-205</v>
      </c>
    </row>
    <row r="77">
      <c r="A77" s="5" t="s">
        <v>27</v>
      </c>
      <c r="B77" s="5" t="s">
        <v>327</v>
      </c>
      <c r="C77" s="5"/>
      <c r="D77" s="5" t="s">
        <v>330</v>
      </c>
      <c r="E77" s="5" t="s">
        <v>107</v>
      </c>
      <c r="F77" s="5" t="s">
        <v>45</v>
      </c>
      <c r="G77" s="5">
        <v>3.0</v>
      </c>
      <c r="H77" s="5" t="s">
        <v>244</v>
      </c>
      <c r="I77" s="5" t="s">
        <v>33</v>
      </c>
      <c r="R77" s="6" t="s">
        <v>123</v>
      </c>
      <c r="S77" s="5" t="s">
        <v>299</v>
      </c>
      <c r="T77" s="6" t="s">
        <v>222</v>
      </c>
      <c r="U77" s="7" t="s">
        <v>331</v>
      </c>
      <c r="V77" s="8" t="str">
        <f t="shared" si="1"/>
        <v>SSF-206</v>
      </c>
      <c r="W77" s="8" t="str">
        <f t="shared" si="2"/>
        <v>[MOB] Add hauls - Gear set map view</v>
      </c>
      <c r="X77" s="10" t="str">
        <f t="shared" si="3"/>
        <v>https://citnet.tech.ec.europa.eu/CITnet/jira/browse/SSF-206</v>
      </c>
    </row>
    <row r="78">
      <c r="A78" s="5" t="s">
        <v>27</v>
      </c>
      <c r="B78" s="5" t="s">
        <v>151</v>
      </c>
      <c r="C78" s="5"/>
      <c r="D78" s="5" t="s">
        <v>332</v>
      </c>
      <c r="E78" s="5" t="s">
        <v>40</v>
      </c>
      <c r="F78" s="5" t="s">
        <v>333</v>
      </c>
      <c r="G78" s="5">
        <v>1.0</v>
      </c>
      <c r="H78" s="5" t="s">
        <v>256</v>
      </c>
      <c r="I78" s="5" t="s">
        <v>314</v>
      </c>
      <c r="R78" s="6" t="s">
        <v>117</v>
      </c>
      <c r="S78" s="5" t="s">
        <v>109</v>
      </c>
      <c r="T78" s="6" t="s">
        <v>218</v>
      </c>
      <c r="U78" s="7" t="s">
        <v>334</v>
      </c>
      <c r="V78" s="8" t="str">
        <f t="shared" si="1"/>
        <v>SSF-207</v>
      </c>
      <c r="W78" s="8" t="str">
        <f t="shared" si="2"/>
        <v>[MOB] Add hauls - Gear set gear selection</v>
      </c>
      <c r="X78" s="10" t="str">
        <f t="shared" si="3"/>
        <v>https://citnet.tech.ec.europa.eu/CITnet/jira/browse/SSF-207</v>
      </c>
    </row>
    <row r="79">
      <c r="A79" s="5" t="s">
        <v>27</v>
      </c>
      <c r="B79" s="5" t="s">
        <v>122</v>
      </c>
      <c r="C79" s="5"/>
      <c r="D79" s="5" t="s">
        <v>124</v>
      </c>
      <c r="E79" s="5" t="s">
        <v>335</v>
      </c>
      <c r="F79" s="5" t="s">
        <v>333</v>
      </c>
      <c r="G79" s="5">
        <v>1.0</v>
      </c>
      <c r="H79" s="5" t="s">
        <v>256</v>
      </c>
      <c r="I79" s="5" t="s">
        <v>257</v>
      </c>
      <c r="R79" s="6" t="s">
        <v>110</v>
      </c>
      <c r="S79" s="5" t="s">
        <v>303</v>
      </c>
      <c r="T79" s="6" t="s">
        <v>213</v>
      </c>
      <c r="U79" s="7" t="s">
        <v>336</v>
      </c>
      <c r="V79" s="8" t="str">
        <f t="shared" si="1"/>
        <v>SSF-208</v>
      </c>
      <c r="W79" s="8" t="str">
        <f t="shared" si="2"/>
        <v>[MOB] Add catches - Form search species and select</v>
      </c>
      <c r="X79" s="10" t="str">
        <f t="shared" si="3"/>
        <v>https://citnet.tech.ec.europa.eu/CITnet/jira/browse/SSF-208</v>
      </c>
    </row>
    <row r="80">
      <c r="A80" s="5" t="s">
        <v>27</v>
      </c>
      <c r="B80" s="5" t="s">
        <v>128</v>
      </c>
      <c r="C80" s="5"/>
      <c r="D80" s="5" t="s">
        <v>130</v>
      </c>
      <c r="E80" s="5" t="s">
        <v>335</v>
      </c>
      <c r="F80" s="5" t="s">
        <v>333</v>
      </c>
      <c r="G80" s="11"/>
      <c r="H80" s="5" t="s">
        <v>256</v>
      </c>
      <c r="I80" s="5" t="s">
        <v>257</v>
      </c>
      <c r="R80" s="6" t="s">
        <v>102</v>
      </c>
      <c r="S80" s="5" t="s">
        <v>95</v>
      </c>
      <c r="T80" s="6" t="s">
        <v>337</v>
      </c>
      <c r="U80" s="7" t="s">
        <v>338</v>
      </c>
      <c r="V80" s="8" t="str">
        <f t="shared" si="1"/>
        <v>SSF-209</v>
      </c>
      <c r="W80" s="8" t="str">
        <f t="shared" si="2"/>
        <v>[MOB] Add Catches - Form for discarded catches (reason, weight etc)</v>
      </c>
      <c r="X80" s="10" t="str">
        <f t="shared" si="3"/>
        <v>https://citnet.tech.ec.europa.eu/CITnet/jira/browse/SSF-209</v>
      </c>
    </row>
    <row r="81">
      <c r="A81" s="5" t="s">
        <v>27</v>
      </c>
      <c r="B81" s="5" t="s">
        <v>71</v>
      </c>
      <c r="C81" s="5"/>
      <c r="D81" s="5" t="s">
        <v>73</v>
      </c>
      <c r="E81" s="5" t="s">
        <v>278</v>
      </c>
      <c r="F81" s="5" t="s">
        <v>333</v>
      </c>
      <c r="G81" s="5">
        <v>1.0</v>
      </c>
      <c r="H81" s="5" t="s">
        <v>339</v>
      </c>
      <c r="I81" s="5" t="s">
        <v>257</v>
      </c>
      <c r="R81" s="6" t="s">
        <v>96</v>
      </c>
      <c r="S81" s="5" t="s">
        <v>101</v>
      </c>
      <c r="T81" s="6" t="s">
        <v>340</v>
      </c>
      <c r="U81" s="7" t="s">
        <v>341</v>
      </c>
      <c r="V81" s="8" t="str">
        <f t="shared" si="1"/>
        <v>SSF-210</v>
      </c>
      <c r="W81" s="8" t="str">
        <f t="shared" si="2"/>
        <v>[MOB] Add Catches - Review screen</v>
      </c>
      <c r="X81" s="10" t="str">
        <f t="shared" si="3"/>
        <v>https://citnet.tech.ec.europa.eu/CITnet/jira/browse/SSF-210</v>
      </c>
    </row>
    <row r="82">
      <c r="A82" s="5" t="s">
        <v>27</v>
      </c>
      <c r="B82" s="5" t="s">
        <v>65</v>
      </c>
      <c r="C82" s="5"/>
      <c r="D82" s="5" t="s">
        <v>67</v>
      </c>
      <c r="E82" s="5" t="s">
        <v>278</v>
      </c>
      <c r="F82" s="5" t="s">
        <v>333</v>
      </c>
      <c r="G82" s="5">
        <v>1.0</v>
      </c>
      <c r="H82" s="5" t="s">
        <v>339</v>
      </c>
      <c r="I82" s="5" t="s">
        <v>257</v>
      </c>
      <c r="R82" s="6" t="s">
        <v>90</v>
      </c>
      <c r="S82" s="5" t="s">
        <v>134</v>
      </c>
      <c r="T82" s="6" t="s">
        <v>342</v>
      </c>
      <c r="U82" s="7" t="s">
        <v>343</v>
      </c>
      <c r="V82" s="8" t="str">
        <f t="shared" si="1"/>
        <v>SSF-211</v>
      </c>
      <c r="W82" s="8" t="str">
        <f t="shared" si="2"/>
        <v>[MOB] Add Catches - Form weight, number of individual, size class, discarded</v>
      </c>
      <c r="X82" s="10" t="str">
        <f t="shared" si="3"/>
        <v>https://citnet.tech.ec.europa.eu/CITnet/jira/browse/SSF-211</v>
      </c>
    </row>
    <row r="83">
      <c r="A83" s="5" t="s">
        <v>27</v>
      </c>
      <c r="B83" s="5" t="s">
        <v>59</v>
      </c>
      <c r="C83" s="5"/>
      <c r="D83" s="5" t="s">
        <v>61</v>
      </c>
      <c r="E83" s="5" t="s">
        <v>278</v>
      </c>
      <c r="F83" s="5" t="s">
        <v>333</v>
      </c>
      <c r="G83" s="5">
        <v>1.0</v>
      </c>
      <c r="H83" s="5" t="s">
        <v>339</v>
      </c>
      <c r="I83" s="5" t="s">
        <v>257</v>
      </c>
      <c r="R83" s="6" t="s">
        <v>84</v>
      </c>
      <c r="S83" s="5" t="s">
        <v>71</v>
      </c>
      <c r="T83" s="6" t="s">
        <v>195</v>
      </c>
      <c r="U83" s="7" t="s">
        <v>344</v>
      </c>
      <c r="V83" s="8" t="str">
        <f t="shared" si="1"/>
        <v>SSF-212</v>
      </c>
      <c r="W83" s="8" t="str">
        <f t="shared" si="2"/>
        <v>[MOB] Add hauls - Gear haul form screen</v>
      </c>
      <c r="X83" s="10" t="str">
        <f t="shared" si="3"/>
        <v>https://citnet.tech.ec.europa.eu/CITnet/jira/browse/SSF-212</v>
      </c>
    </row>
    <row r="84">
      <c r="A84" s="5" t="s">
        <v>27</v>
      </c>
      <c r="B84" s="5" t="s">
        <v>345</v>
      </c>
      <c r="C84" s="5"/>
      <c r="D84" s="5" t="s">
        <v>346</v>
      </c>
      <c r="E84" s="5" t="s">
        <v>107</v>
      </c>
      <c r="F84" s="5" t="s">
        <v>333</v>
      </c>
      <c r="G84" s="5">
        <v>4.0</v>
      </c>
      <c r="H84" s="5" t="s">
        <v>260</v>
      </c>
      <c r="I84" s="5" t="s">
        <v>257</v>
      </c>
      <c r="R84" s="6" t="s">
        <v>78</v>
      </c>
      <c r="S84" s="5" t="s">
        <v>65</v>
      </c>
      <c r="T84" s="6" t="s">
        <v>191</v>
      </c>
      <c r="U84" s="7" t="s">
        <v>347</v>
      </c>
      <c r="V84" s="8" t="str">
        <f t="shared" si="1"/>
        <v>SSF-213</v>
      </c>
      <c r="W84" s="8" t="str">
        <f t="shared" si="2"/>
        <v>[BACK] Add Hauls - POST / PUT pour créer un haul</v>
      </c>
      <c r="X84" s="10" t="str">
        <f t="shared" si="3"/>
        <v>https://citnet.tech.ec.europa.eu/CITnet/jira/browse/SSF-213</v>
      </c>
    </row>
    <row r="85">
      <c r="A85" s="5" t="s">
        <v>27</v>
      </c>
      <c r="B85" s="5" t="s">
        <v>348</v>
      </c>
      <c r="C85" s="5"/>
      <c r="D85" s="5" t="s">
        <v>349</v>
      </c>
      <c r="E85" s="5" t="s">
        <v>350</v>
      </c>
      <c r="F85" s="5" t="s">
        <v>333</v>
      </c>
      <c r="G85" s="5">
        <v>3.0</v>
      </c>
      <c r="H85" s="5" t="s">
        <v>260</v>
      </c>
      <c r="I85" s="5" t="s">
        <v>257</v>
      </c>
      <c r="R85" s="6" t="s">
        <v>72</v>
      </c>
      <c r="S85" s="5" t="s">
        <v>59</v>
      </c>
      <c r="T85" s="6" t="s">
        <v>187</v>
      </c>
      <c r="U85" s="7" t="s">
        <v>351</v>
      </c>
      <c r="V85" s="8" t="str">
        <f t="shared" si="1"/>
        <v>SSF-214</v>
      </c>
      <c r="W85" s="8" t="str">
        <f t="shared" si="2"/>
        <v>[BACK] Add Catches - POST / PUT</v>
      </c>
      <c r="X85" s="10" t="str">
        <f t="shared" si="3"/>
        <v>https://citnet.tech.ec.europa.eu/CITnet/jira/browse/SSF-214</v>
      </c>
    </row>
    <row r="86">
      <c r="A86" s="5" t="s">
        <v>27</v>
      </c>
      <c r="B86" s="5" t="s">
        <v>77</v>
      </c>
      <c r="C86" s="5"/>
      <c r="D86" s="5" t="s">
        <v>79</v>
      </c>
      <c r="E86" s="5" t="s">
        <v>278</v>
      </c>
      <c r="F86" s="5" t="s">
        <v>333</v>
      </c>
      <c r="G86" s="5">
        <v>2.0</v>
      </c>
      <c r="H86" s="5" t="s">
        <v>352</v>
      </c>
      <c r="I86" s="5" t="s">
        <v>257</v>
      </c>
      <c r="R86" s="6" t="s">
        <v>66</v>
      </c>
      <c r="S86" s="5" t="s">
        <v>345</v>
      </c>
      <c r="T86" s="6" t="s">
        <v>183</v>
      </c>
      <c r="U86" s="7" t="s">
        <v>353</v>
      </c>
      <c r="V86" s="8" t="str">
        <f t="shared" si="1"/>
        <v>SSF-215</v>
      </c>
      <c r="W86" s="8" t="str">
        <f t="shared" si="2"/>
        <v>[BACK] Pending Hauls - GET to retrieve the pending hauls</v>
      </c>
      <c r="X86" s="10" t="str">
        <f t="shared" si="3"/>
        <v>https://citnet.tech.ec.europa.eu/CITnet/jira/browse/SSF-215</v>
      </c>
    </row>
    <row r="87">
      <c r="A87" s="5" t="s">
        <v>27</v>
      </c>
      <c r="B87" s="5" t="s">
        <v>89</v>
      </c>
      <c r="C87" s="5"/>
      <c r="D87" s="5" t="s">
        <v>91</v>
      </c>
      <c r="E87" s="5" t="s">
        <v>278</v>
      </c>
      <c r="F87" s="5" t="s">
        <v>333</v>
      </c>
      <c r="G87" s="5">
        <v>2.0</v>
      </c>
      <c r="H87" s="5" t="s">
        <v>256</v>
      </c>
      <c r="I87" s="5" t="s">
        <v>257</v>
      </c>
      <c r="R87" s="6" t="s">
        <v>354</v>
      </c>
      <c r="S87" s="5" t="s">
        <v>348</v>
      </c>
      <c r="T87" s="6" t="s">
        <v>31</v>
      </c>
      <c r="U87" s="7" t="s">
        <v>355</v>
      </c>
      <c r="V87" s="8" t="str">
        <f t="shared" si="1"/>
        <v/>
      </c>
      <c r="W87" s="8" t="str">
        <f t="shared" si="2"/>
        <v/>
      </c>
      <c r="X87" s="8" t="str">
        <f t="shared" si="3"/>
        <v/>
      </c>
    </row>
    <row r="88">
      <c r="A88" s="5" t="s">
        <v>27</v>
      </c>
      <c r="B88" s="5" t="s">
        <v>60</v>
      </c>
      <c r="C88" s="5"/>
      <c r="D88" s="5" t="s">
        <v>85</v>
      </c>
      <c r="E88" s="5" t="s">
        <v>278</v>
      </c>
      <c r="F88" s="5" t="s">
        <v>333</v>
      </c>
      <c r="G88" s="5">
        <v>4.0</v>
      </c>
      <c r="H88" s="5" t="s">
        <v>356</v>
      </c>
      <c r="I88" s="5" t="s">
        <v>257</v>
      </c>
      <c r="R88" s="6" t="s">
        <v>28</v>
      </c>
      <c r="S88" s="5" t="s">
        <v>77</v>
      </c>
      <c r="T88" s="6" t="s">
        <v>29</v>
      </c>
      <c r="U88" s="7" t="s">
        <v>357</v>
      </c>
      <c r="V88" s="8" t="str">
        <f t="shared" si="1"/>
        <v>SSF-164</v>
      </c>
      <c r="W88" s="8" t="str">
        <f t="shared" si="2"/>
        <v>[MOB] Routing from the menu to the selected element screen</v>
      </c>
      <c r="X88" s="10" t="str">
        <f t="shared" si="3"/>
        <v>https://citnet.tech.ec.europa.eu/CITnet/jira/browse/SSF-164</v>
      </c>
    </row>
    <row r="89">
      <c r="A89" s="5" t="s">
        <v>27</v>
      </c>
      <c r="B89" s="5" t="s">
        <v>150</v>
      </c>
      <c r="C89" s="5"/>
      <c r="D89" s="5" t="s">
        <v>152</v>
      </c>
      <c r="E89" s="5" t="s">
        <v>40</v>
      </c>
      <c r="F89" s="5" t="s">
        <v>333</v>
      </c>
      <c r="G89" s="5">
        <v>2.0</v>
      </c>
      <c r="H89" s="5" t="s">
        <v>260</v>
      </c>
      <c r="I89" s="5" t="s">
        <v>33</v>
      </c>
      <c r="R89" s="6" t="s">
        <v>358</v>
      </c>
      <c r="S89" s="5" t="s">
        <v>89</v>
      </c>
      <c r="T89" s="6" t="s">
        <v>308</v>
      </c>
      <c r="U89" s="7" t="s">
        <v>359</v>
      </c>
      <c r="V89" s="8" t="str">
        <f t="shared" si="1"/>
        <v/>
      </c>
      <c r="W89" s="8" t="str">
        <f t="shared" si="2"/>
        <v/>
      </c>
      <c r="X89" s="8" t="str">
        <f t="shared" si="3"/>
        <v/>
      </c>
    </row>
    <row r="90">
      <c r="A90" s="5" t="s">
        <v>27</v>
      </c>
      <c r="B90" s="5" t="s">
        <v>134</v>
      </c>
      <c r="C90" s="5"/>
      <c r="D90" s="5" t="s">
        <v>136</v>
      </c>
      <c r="E90" s="5" t="s">
        <v>40</v>
      </c>
      <c r="F90" s="5" t="s">
        <v>333</v>
      </c>
      <c r="G90" s="5">
        <v>1.0</v>
      </c>
      <c r="H90" s="5" t="s">
        <v>360</v>
      </c>
      <c r="I90" s="5" t="s">
        <v>33</v>
      </c>
      <c r="R90" s="6" t="s">
        <v>361</v>
      </c>
      <c r="S90" s="5" t="s">
        <v>175</v>
      </c>
      <c r="T90" s="6" t="s">
        <v>272</v>
      </c>
      <c r="U90" s="7" t="s">
        <v>362</v>
      </c>
      <c r="V90" s="8" t="str">
        <f t="shared" si="1"/>
        <v/>
      </c>
      <c r="W90" s="8" t="str">
        <f t="shared" si="2"/>
        <v/>
      </c>
      <c r="X90" s="8" t="str">
        <f t="shared" si="3"/>
        <v/>
      </c>
    </row>
    <row r="91">
      <c r="A91" s="5" t="s">
        <v>27</v>
      </c>
      <c r="B91" s="5" t="s">
        <v>276</v>
      </c>
      <c r="C91" s="5"/>
      <c r="D91" s="5" t="s">
        <v>363</v>
      </c>
      <c r="E91" s="5" t="s">
        <v>107</v>
      </c>
      <c r="F91" s="5" t="s">
        <v>54</v>
      </c>
      <c r="G91" s="5">
        <v>3.0</v>
      </c>
      <c r="H91" s="5" t="s">
        <v>244</v>
      </c>
      <c r="I91" s="5" t="s">
        <v>33</v>
      </c>
      <c r="R91" s="6" t="s">
        <v>364</v>
      </c>
      <c r="S91" s="5" t="s">
        <v>170</v>
      </c>
      <c r="T91" s="6" t="s">
        <v>365</v>
      </c>
      <c r="U91" s="7" t="s">
        <v>366</v>
      </c>
      <c r="V91" s="8" t="str">
        <f t="shared" si="1"/>
        <v/>
      </c>
      <c r="W91" s="8" t="str">
        <f t="shared" si="2"/>
        <v/>
      </c>
      <c r="X91" s="8" t="str">
        <f t="shared" si="3"/>
        <v/>
      </c>
    </row>
    <row r="92">
      <c r="A92" s="5" t="s">
        <v>27</v>
      </c>
      <c r="B92" s="5" t="s">
        <v>24</v>
      </c>
      <c r="C92" s="5"/>
      <c r="D92" s="5" t="s">
        <v>367</v>
      </c>
      <c r="E92" s="5" t="s">
        <v>107</v>
      </c>
      <c r="F92" s="5" t="s">
        <v>54</v>
      </c>
      <c r="G92" s="5">
        <v>2.0</v>
      </c>
      <c r="H92" s="5" t="s">
        <v>244</v>
      </c>
      <c r="I92" s="5" t="s">
        <v>33</v>
      </c>
      <c r="R92" s="6" t="s">
        <v>368</v>
      </c>
      <c r="S92" s="5" t="s">
        <v>164</v>
      </c>
      <c r="T92" s="6" t="s">
        <v>369</v>
      </c>
      <c r="U92" s="7" t="s">
        <v>370</v>
      </c>
      <c r="V92" s="8" t="str">
        <f t="shared" si="1"/>
        <v/>
      </c>
      <c r="W92" s="8" t="str">
        <f t="shared" si="2"/>
        <v/>
      </c>
      <c r="X92" s="8" t="str">
        <f t="shared" si="3"/>
        <v/>
      </c>
    </row>
    <row r="93">
      <c r="A93" s="5" t="s">
        <v>27</v>
      </c>
      <c r="B93" s="5" t="s">
        <v>35</v>
      </c>
      <c r="C93" s="5"/>
      <c r="D93" s="5" t="s">
        <v>371</v>
      </c>
      <c r="E93" s="5" t="s">
        <v>107</v>
      </c>
      <c r="F93" s="5" t="s">
        <v>54</v>
      </c>
      <c r="G93" s="5">
        <v>3.0</v>
      </c>
      <c r="H93" s="5" t="s">
        <v>192</v>
      </c>
      <c r="I93" s="5" t="s">
        <v>33</v>
      </c>
      <c r="R93" s="6" t="s">
        <v>246</v>
      </c>
      <c r="S93" s="6"/>
      <c r="T93" s="6" t="s">
        <v>306</v>
      </c>
      <c r="U93" s="7" t="s">
        <v>372</v>
      </c>
      <c r="V93" s="8" t="str">
        <f t="shared" si="1"/>
        <v>SSF-176</v>
      </c>
      <c r="W93" s="8" t="str">
        <f t="shared" si="2"/>
        <v>[MOB] Login Routing - No vessel edge case</v>
      </c>
      <c r="X93" s="10" t="str">
        <f t="shared" si="3"/>
        <v>https://citnet.tech.ec.europa.eu/CITnet/jira/browse/SSF-176</v>
      </c>
    </row>
    <row r="94">
      <c r="A94" s="5" t="s">
        <v>27</v>
      </c>
      <c r="B94" s="5" t="s">
        <v>44</v>
      </c>
      <c r="C94" s="5"/>
      <c r="D94" s="5" t="s">
        <v>373</v>
      </c>
      <c r="E94" s="5" t="s">
        <v>107</v>
      </c>
      <c r="F94" s="5" t="s">
        <v>54</v>
      </c>
      <c r="G94" s="5">
        <v>3.0</v>
      </c>
      <c r="H94" s="5" t="s">
        <v>244</v>
      </c>
      <c r="I94" s="5" t="s">
        <v>33</v>
      </c>
      <c r="R94" s="6" t="s">
        <v>53</v>
      </c>
      <c r="S94" s="6"/>
      <c r="T94" s="6" t="s">
        <v>374</v>
      </c>
      <c r="U94" s="7" t="s">
        <v>375</v>
      </c>
      <c r="V94" s="8" t="str">
        <f t="shared" si="1"/>
        <v>SSF-87</v>
      </c>
      <c r="W94" s="8" t="str">
        <f t="shared" si="2"/>
        <v>[MOB] Geolocation Widget</v>
      </c>
      <c r="X94" s="10" t="str">
        <f t="shared" si="3"/>
        <v>https://citnet.tech.ec.europa.eu/CITnet/jira/browse/SSF-87</v>
      </c>
    </row>
    <row r="95">
      <c r="A95" s="5" t="s">
        <v>27</v>
      </c>
      <c r="B95" s="5" t="s">
        <v>53</v>
      </c>
      <c r="C95" s="5"/>
      <c r="D95" s="5" t="s">
        <v>374</v>
      </c>
      <c r="E95" s="5" t="s">
        <v>107</v>
      </c>
      <c r="F95" s="5" t="s">
        <v>54</v>
      </c>
      <c r="G95" s="5">
        <v>2.0</v>
      </c>
      <c r="H95" s="5" t="s">
        <v>244</v>
      </c>
      <c r="I95" s="5" t="s">
        <v>33</v>
      </c>
      <c r="R95" s="6" t="s">
        <v>44</v>
      </c>
      <c r="S95" s="6"/>
      <c r="T95" s="6" t="s">
        <v>373</v>
      </c>
      <c r="U95" s="7" t="s">
        <v>376</v>
      </c>
      <c r="V95" s="8" t="str">
        <f t="shared" si="1"/>
        <v>SSF-88</v>
      </c>
      <c r="W95" s="8" t="str">
        <f t="shared" si="2"/>
        <v>[MOB] Tracking Records</v>
      </c>
      <c r="X95" s="10" t="str">
        <f t="shared" si="3"/>
        <v>https://citnet.tech.ec.europa.eu/CITnet/jira/browse/SSF-88</v>
      </c>
    </row>
    <row r="96">
      <c r="A96" s="12" t="s">
        <v>377</v>
      </c>
      <c r="R96" s="6" t="s">
        <v>35</v>
      </c>
      <c r="S96" s="6"/>
      <c r="T96" s="6" t="s">
        <v>371</v>
      </c>
      <c r="U96" s="7" t="s">
        <v>378</v>
      </c>
      <c r="V96" s="8" t="str">
        <f t="shared" si="1"/>
        <v>SSF-89</v>
      </c>
      <c r="W96" s="8" t="str">
        <f t="shared" si="2"/>
        <v>[BACK] Receive Vessel tracking Data</v>
      </c>
      <c r="X96" s="10" t="str">
        <f t="shared" si="3"/>
        <v>https://citnet.tech.ec.europa.eu/CITnet/jira/browse/SSF-89</v>
      </c>
    </row>
    <row r="97">
      <c r="R97" s="6" t="s">
        <v>24</v>
      </c>
      <c r="S97" s="6"/>
      <c r="T97" s="6" t="s">
        <v>367</v>
      </c>
      <c r="U97" s="7" t="s">
        <v>379</v>
      </c>
      <c r="V97" s="8" t="str">
        <f t="shared" si="1"/>
        <v>SSF-90</v>
      </c>
      <c r="W97" s="8" t="str">
        <f t="shared" si="2"/>
        <v>[MOB] Send tracking records</v>
      </c>
      <c r="X97" s="10" t="str">
        <f t="shared" si="3"/>
        <v>https://citnet.tech.ec.europa.eu/CITnet/jira/browse/SSF-90</v>
      </c>
    </row>
    <row r="98">
      <c r="R98" s="6" t="s">
        <v>276</v>
      </c>
      <c r="S98" s="6"/>
      <c r="T98" s="6" t="s">
        <v>363</v>
      </c>
      <c r="U98" s="7" t="s">
        <v>380</v>
      </c>
      <c r="V98" s="8" t="str">
        <f t="shared" si="1"/>
        <v>SSF-158</v>
      </c>
      <c r="W98" s="8" t="str">
        <f t="shared" si="2"/>
        <v>[MOB] Location services authorization request</v>
      </c>
      <c r="X98" s="10" t="str">
        <f t="shared" si="3"/>
        <v>https://citnet.tech.ec.europa.eu/CITnet/jira/browse/SSF-158</v>
      </c>
    </row>
    <row r="99">
      <c r="R99" s="6" t="s">
        <v>327</v>
      </c>
      <c r="S99" s="6"/>
      <c r="T99" s="6" t="s">
        <v>330</v>
      </c>
      <c r="U99" s="7" t="s">
        <v>381</v>
      </c>
      <c r="V99" s="8" t="str">
        <f t="shared" si="1"/>
        <v>SSF-133</v>
      </c>
      <c r="W99" s="8" t="str">
        <f t="shared" si="2"/>
        <v>[MOB] Map Widget Initialization + Current position Display</v>
      </c>
      <c r="X99" s="10" t="str">
        <f t="shared" si="3"/>
        <v>https://citnet.tech.ec.europa.eu/CITnet/jira/browse/SSF-133</v>
      </c>
    </row>
    <row r="100">
      <c r="R100" s="6" t="s">
        <v>251</v>
      </c>
      <c r="S100" s="6"/>
      <c r="T100" s="6" t="s">
        <v>252</v>
      </c>
      <c r="U100" s="7" t="s">
        <v>382</v>
      </c>
      <c r="V100" s="8" t="str">
        <f t="shared" si="1"/>
        <v>SSF-153</v>
      </c>
      <c r="W100" s="8" t="str">
        <f t="shared" si="2"/>
        <v>TO UPDATE - [MOB] Session &amp; Network Widget</v>
      </c>
      <c r="X100" s="10" t="str">
        <f t="shared" si="3"/>
        <v>https://citnet.tech.ec.europa.eu/CITnet/jira/browse/SSF-153</v>
      </c>
    </row>
    <row r="101">
      <c r="R101" s="6" t="s">
        <v>215</v>
      </c>
      <c r="S101" s="6"/>
      <c r="T101" s="6" t="s">
        <v>243</v>
      </c>
      <c r="U101" s="7" t="s">
        <v>383</v>
      </c>
      <c r="V101" s="8" t="str">
        <f t="shared" si="1"/>
        <v>SSF-184</v>
      </c>
      <c r="W101" s="8" t="str">
        <f t="shared" si="2"/>
        <v>TO UPDATE - [MOB] Session &amp; Network Widget - Reconnection Logic</v>
      </c>
      <c r="X101" s="10" t="str">
        <f t="shared" si="3"/>
        <v>https://citnet.tech.ec.europa.eu/CITnet/jira/browse/SSF-184</v>
      </c>
    </row>
    <row r="102">
      <c r="R102" s="6" t="s">
        <v>303</v>
      </c>
      <c r="S102" s="6"/>
      <c r="T102" s="6" t="s">
        <v>304</v>
      </c>
      <c r="U102" s="7" t="s">
        <v>384</v>
      </c>
      <c r="V102" s="8" t="str">
        <f t="shared" si="1"/>
        <v>SSF-117</v>
      </c>
      <c r="W102" s="8" t="str">
        <f t="shared" si="2"/>
        <v>[MOB] Auto login routing</v>
      </c>
      <c r="X102" s="10" t="str">
        <f t="shared" si="3"/>
        <v>https://citnet.tech.ec.europa.eu/CITnet/jira/browse/SSF-117</v>
      </c>
    </row>
    <row r="103">
      <c r="R103" s="6" t="s">
        <v>253</v>
      </c>
      <c r="S103" s="6"/>
      <c r="T103" s="6" t="s">
        <v>295</v>
      </c>
      <c r="U103" s="7" t="s">
        <v>385</v>
      </c>
      <c r="V103" s="8" t="str">
        <f t="shared" si="1"/>
        <v>SSF-174</v>
      </c>
      <c r="W103" s="8" t="str">
        <f t="shared" si="2"/>
        <v>[MOB] Get Vessels from App Server</v>
      </c>
      <c r="X103" s="10" t="str">
        <f t="shared" si="3"/>
        <v>https://citnet.tech.ec.europa.eu/CITnet/jira/browse/SSF-174</v>
      </c>
    </row>
    <row r="104">
      <c r="R104" s="6" t="s">
        <v>299</v>
      </c>
      <c r="S104" s="6"/>
      <c r="T104" s="6" t="s">
        <v>300</v>
      </c>
      <c r="U104" s="7" t="s">
        <v>386</v>
      </c>
      <c r="V104" s="8" t="str">
        <f t="shared" si="1"/>
        <v>SSF-119</v>
      </c>
      <c r="W104" s="8" t="str">
        <f t="shared" si="2"/>
        <v>[BACK] Validate requests from client</v>
      </c>
      <c r="X104" s="10" t="str">
        <f t="shared" si="3"/>
        <v>https://citnet.tech.ec.europa.eu/CITnet/jira/browse/SSF-119</v>
      </c>
    </row>
    <row r="105">
      <c r="R105" s="6" t="s">
        <v>224</v>
      </c>
      <c r="S105" s="6"/>
      <c r="T105" s="6" t="s">
        <v>282</v>
      </c>
      <c r="U105" s="7" t="s">
        <v>387</v>
      </c>
      <c r="V105" s="8" t="str">
        <f t="shared" si="1"/>
        <v>SSF-181</v>
      </c>
      <c r="W105" s="8" t="str">
        <f t="shared" si="2"/>
        <v>{NEEDS DISCUSSION} [MOB] Retrieve user data from Identity Provider</v>
      </c>
      <c r="X105" s="10" t="str">
        <f t="shared" si="3"/>
        <v>https://citnet.tech.ec.europa.eu/CITnet/jira/browse/SSF-181</v>
      </c>
    </row>
    <row r="106">
      <c r="R106" s="6" t="s">
        <v>210</v>
      </c>
      <c r="S106" s="6"/>
      <c r="T106" s="6" t="s">
        <v>280</v>
      </c>
      <c r="U106" s="7" t="s">
        <v>388</v>
      </c>
      <c r="V106" s="8" t="str">
        <f t="shared" si="1"/>
        <v>SSF-185</v>
      </c>
      <c r="W106" s="8" t="str">
        <f t="shared" si="2"/>
        <v>[MOB] Handle Multiple devices login</v>
      </c>
      <c r="X106" s="10" t="str">
        <f t="shared" si="3"/>
        <v>https://citnet.tech.ec.europa.eu/CITnet/jira/browse/SSF-185</v>
      </c>
    </row>
    <row r="107">
      <c r="R107" s="6" t="s">
        <v>261</v>
      </c>
      <c r="S107" s="6"/>
      <c r="T107" s="6" t="s">
        <v>271</v>
      </c>
      <c r="U107" s="7" t="s">
        <v>389</v>
      </c>
      <c r="V107" s="8" t="str">
        <f t="shared" si="1"/>
        <v>SSF-169</v>
      </c>
      <c r="W107" s="8" t="str">
        <f t="shared" si="2"/>
        <v>[BACK] Languages MDR Ref Data</v>
      </c>
      <c r="X107" s="10" t="str">
        <f t="shared" si="3"/>
        <v>https://citnet.tech.ec.europa.eu/CITnet/jira/browse/SSF-169</v>
      </c>
    </row>
    <row r="108">
      <c r="R108" s="6" t="s">
        <v>315</v>
      </c>
      <c r="S108" s="6"/>
      <c r="T108" s="6" t="s">
        <v>320</v>
      </c>
      <c r="U108" s="7" t="s">
        <v>390</v>
      </c>
      <c r="V108" s="8" t="str">
        <f t="shared" si="1"/>
        <v>SSF-137</v>
      </c>
      <c r="W108" s="8" t="str">
        <f t="shared" si="2"/>
        <v>{READY} [BACK] Map Tiles - Server/Cache/CDN</v>
      </c>
      <c r="X108" s="10" t="str">
        <f t="shared" si="3"/>
        <v>https://citnet.tech.ec.europa.eu/CITnet/jira/browse/SSF-137</v>
      </c>
    </row>
    <row r="109">
      <c r="R109" s="6" t="s">
        <v>322</v>
      </c>
      <c r="S109" s="6"/>
      <c r="T109" s="6" t="s">
        <v>326</v>
      </c>
      <c r="U109" s="7" t="s">
        <v>391</v>
      </c>
      <c r="V109" s="8" t="str">
        <f t="shared" si="1"/>
        <v>SSF-135</v>
      </c>
      <c r="W109" s="8" t="str">
        <f t="shared" si="2"/>
        <v>{NEEDS DISCUSSION} [MOB] Map Screen - Display Open Sea Map Data</v>
      </c>
      <c r="X109" s="10" t="str">
        <f t="shared" si="3"/>
        <v>https://citnet.tech.ec.europa.eu/CITnet/jira/browse/SSF-135</v>
      </c>
    </row>
    <row r="110">
      <c r="R110" s="6" t="s">
        <v>311</v>
      </c>
      <c r="S110" s="6"/>
      <c r="T110" s="6" t="s">
        <v>317</v>
      </c>
      <c r="U110" s="7" t="s">
        <v>392</v>
      </c>
      <c r="V110" s="8" t="str">
        <f t="shared" si="1"/>
        <v>SSF-138</v>
      </c>
      <c r="W110" s="8" t="str">
        <f t="shared" si="2"/>
        <v>[MOB] Display Hauls on the map</v>
      </c>
      <c r="X110" s="10" t="str">
        <f t="shared" si="3"/>
        <v>https://citnet.tech.ec.europa.eu/CITnet/jira/browse/SSF-138</v>
      </c>
    </row>
    <row r="111">
      <c r="R111" s="6" t="s">
        <v>309</v>
      </c>
      <c r="S111" s="6"/>
      <c r="T111" s="6" t="s">
        <v>313</v>
      </c>
      <c r="U111" s="7" t="s">
        <v>393</v>
      </c>
      <c r="V111" s="8" t="str">
        <f t="shared" si="1"/>
        <v>SSF-139</v>
      </c>
      <c r="W111" s="8" t="str">
        <f t="shared" si="2"/>
        <v>[MOB] Display other POI on the map</v>
      </c>
      <c r="X111" s="10" t="str">
        <f t="shared" si="3"/>
        <v>https://citnet.tech.ec.europa.eu/CITnet/jira/browse/SSF-139</v>
      </c>
    </row>
    <row r="112">
      <c r="R112" s="6" t="s">
        <v>318</v>
      </c>
      <c r="S112" s="6"/>
      <c r="T112" s="6" t="s">
        <v>324</v>
      </c>
      <c r="U112" s="7" t="s">
        <v>394</v>
      </c>
      <c r="V112" s="8" t="str">
        <f t="shared" si="1"/>
        <v>SSF-136</v>
      </c>
      <c r="W112" s="8" t="str">
        <f t="shared" si="2"/>
        <v>{READY} [MOB] Map Screen - Offline Mode</v>
      </c>
      <c r="X112" s="10" t="str">
        <f t="shared" si="3"/>
        <v>https://citnet.tech.ec.europa.eu/CITnet/jira/browse/SSF-136</v>
      </c>
    </row>
    <row r="113">
      <c r="R113" s="6" t="s">
        <v>151</v>
      </c>
      <c r="S113" s="6"/>
      <c r="T113" s="6" t="s">
        <v>332</v>
      </c>
      <c r="U113" s="7" t="s">
        <v>395</v>
      </c>
      <c r="V113" s="8" t="str">
        <f t="shared" si="1"/>
        <v>SSF-200</v>
      </c>
      <c r="W113" s="8" t="str">
        <f t="shared" si="2"/>
        <v>[MOB] Tech : Ajouter Crashlytics</v>
      </c>
      <c r="X113" s="10" t="str">
        <f t="shared" si="3"/>
        <v>https://citnet.tech.ec.europa.eu/CITnet/jira/browse/SSF-200</v>
      </c>
    </row>
    <row r="114">
      <c r="R114" s="6" t="s">
        <v>141</v>
      </c>
      <c r="S114" s="6"/>
      <c r="T114" s="6" t="s">
        <v>287</v>
      </c>
      <c r="U114" s="7" t="s">
        <v>396</v>
      </c>
      <c r="V114" s="8" t="str">
        <f t="shared" si="1"/>
        <v>SSF-202</v>
      </c>
      <c r="W114" s="8" t="str">
        <f t="shared" si="2"/>
        <v>[MOB] Vessel selection screen Errors Management</v>
      </c>
      <c r="X114" s="10" t="str">
        <f t="shared" si="3"/>
        <v>https://citnet.tech.ec.europa.eu/CITnet/jira/browse/SSF-202</v>
      </c>
    </row>
    <row r="115">
      <c r="R115" s="6" t="s">
        <v>348</v>
      </c>
      <c r="S115" s="6"/>
      <c r="T115" s="6" t="s">
        <v>349</v>
      </c>
      <c r="U115" s="7" t="s">
        <v>397</v>
      </c>
      <c r="V115" s="8" t="str">
        <f t="shared" si="1"/>
        <v>SSF-108</v>
      </c>
      <c r="W115" s="8" t="str">
        <f t="shared" si="2"/>
        <v>[BACK] Initiate App Server Codebase</v>
      </c>
      <c r="X115" s="10" t="str">
        <f t="shared" si="3"/>
        <v>https://citnet.tech.ec.europa.eu/CITnet/jira/browse/SSF-108</v>
      </c>
    </row>
    <row r="116">
      <c r="R116" s="6" t="s">
        <v>345</v>
      </c>
      <c r="S116" s="6"/>
      <c r="T116" s="6" t="s">
        <v>346</v>
      </c>
      <c r="U116" s="7" t="s">
        <v>398</v>
      </c>
      <c r="V116" s="8" t="str">
        <f t="shared" si="1"/>
        <v>SSF-109</v>
      </c>
      <c r="W116" s="8" t="str">
        <f t="shared" si="2"/>
        <v>[BACK] App Server architecture</v>
      </c>
      <c r="X116" s="10" t="str">
        <f t="shared" si="3"/>
        <v>https://citnet.tech.ec.europa.eu/CITnet/jira/browse/SSF-109</v>
      </c>
    </row>
    <row r="117">
      <c r="R117" s="6" t="s">
        <v>289</v>
      </c>
      <c r="S117" s="6"/>
      <c r="T117" s="6" t="s">
        <v>290</v>
      </c>
      <c r="U117" s="7" t="s">
        <v>399</v>
      </c>
      <c r="V117" s="8" t="str">
        <f t="shared" si="1"/>
        <v>SSF-120</v>
      </c>
      <c r="W117" s="8" t="str">
        <f t="shared" si="2"/>
        <v>[BACK] Endpoint GET vessels for the user</v>
      </c>
      <c r="X117" s="10" t="str">
        <f t="shared" si="3"/>
        <v>https://citnet.tech.ec.europa.eu/CITnet/jira/browse/SSF-120</v>
      </c>
    </row>
    <row r="118">
      <c r="V118" s="13"/>
    </row>
    <row r="119">
      <c r="V119" s="13"/>
    </row>
    <row r="120">
      <c r="V120" s="13"/>
    </row>
  </sheetData>
  <autoFilter ref="$A$4:$I$95">
    <sortState ref="A4:I95">
      <sortCondition ref="F4:F95"/>
    </sortState>
  </autoFilter>
  <mergeCells count="4">
    <mergeCell ref="A1:I1"/>
    <mergeCell ref="A2:I2"/>
    <mergeCell ref="A3:I3"/>
    <mergeCell ref="A96:I96"/>
  </mergeCells>
  <hyperlinks>
    <hyperlink r:id="rId1" ref="U2"/>
    <hyperlink r:id="rId2" ref="U3"/>
    <hyperlink r:id="rId3" ref="U4"/>
    <hyperlink r:id="rId4" ref="U5"/>
    <hyperlink r:id="rId5" ref="U6"/>
    <hyperlink r:id="rId6" ref="U7"/>
    <hyperlink r:id="rId7" ref="U8"/>
    <hyperlink r:id="rId8" ref="U9"/>
    <hyperlink r:id="rId9" ref="U10"/>
    <hyperlink r:id="rId10" ref="U11"/>
    <hyperlink r:id="rId11" ref="U12"/>
    <hyperlink r:id="rId12" ref="U13"/>
    <hyperlink r:id="rId13" ref="U14"/>
    <hyperlink r:id="rId14" ref="U15"/>
    <hyperlink r:id="rId15" ref="U16"/>
    <hyperlink r:id="rId16" ref="U17"/>
    <hyperlink r:id="rId17" ref="U18"/>
    <hyperlink r:id="rId18" ref="U19"/>
    <hyperlink r:id="rId19" ref="U20"/>
    <hyperlink r:id="rId20" ref="U21"/>
    <hyperlink r:id="rId21" ref="U22"/>
    <hyperlink r:id="rId22" ref="U23"/>
    <hyperlink r:id="rId23" ref="U24"/>
    <hyperlink r:id="rId24" ref="U25"/>
    <hyperlink r:id="rId25" ref="U26"/>
    <hyperlink r:id="rId26" ref="U27"/>
    <hyperlink r:id="rId27" ref="U28"/>
    <hyperlink r:id="rId28" ref="U29"/>
    <hyperlink r:id="rId29" ref="U30"/>
    <hyperlink r:id="rId30" ref="U31"/>
    <hyperlink r:id="rId31" ref="U32"/>
    <hyperlink r:id="rId32" ref="U33"/>
    <hyperlink r:id="rId33" ref="U34"/>
    <hyperlink r:id="rId34" ref="U35"/>
    <hyperlink r:id="rId35" ref="U36"/>
    <hyperlink r:id="rId36" ref="U37"/>
    <hyperlink r:id="rId37" ref="U38"/>
    <hyperlink r:id="rId38" ref="U39"/>
    <hyperlink r:id="rId39" ref="U40"/>
    <hyperlink r:id="rId40" ref="U41"/>
    <hyperlink r:id="rId41" ref="U42"/>
    <hyperlink r:id="rId42" ref="U43"/>
    <hyperlink r:id="rId43" ref="U44"/>
    <hyperlink r:id="rId44" ref="U45"/>
    <hyperlink r:id="rId45" ref="U46"/>
    <hyperlink r:id="rId46" ref="U47"/>
    <hyperlink r:id="rId47" ref="U48"/>
    <hyperlink r:id="rId48" ref="U49"/>
    <hyperlink r:id="rId49" ref="U50"/>
    <hyperlink r:id="rId50" ref="U51"/>
    <hyperlink r:id="rId51" ref="U52"/>
    <hyperlink r:id="rId52" ref="U53"/>
    <hyperlink r:id="rId53" ref="U54"/>
    <hyperlink r:id="rId54" ref="U55"/>
    <hyperlink r:id="rId55" ref="U56"/>
    <hyperlink r:id="rId56" ref="U57"/>
    <hyperlink r:id="rId57" ref="U58"/>
    <hyperlink r:id="rId58" ref="U59"/>
    <hyperlink r:id="rId59" ref="U60"/>
    <hyperlink r:id="rId60" ref="U61"/>
    <hyperlink r:id="rId61" ref="U62"/>
    <hyperlink r:id="rId62" ref="U63"/>
    <hyperlink r:id="rId63" ref="U64"/>
    <hyperlink r:id="rId64" ref="U65"/>
    <hyperlink r:id="rId65" ref="U66"/>
    <hyperlink r:id="rId66" ref="U67"/>
    <hyperlink r:id="rId67" ref="U68"/>
    <hyperlink r:id="rId68" ref="U69"/>
    <hyperlink r:id="rId69" ref="U70"/>
    <hyperlink r:id="rId70" ref="U71"/>
    <hyperlink r:id="rId71" ref="U72"/>
    <hyperlink r:id="rId72" ref="U73"/>
    <hyperlink r:id="rId73" ref="U74"/>
    <hyperlink r:id="rId74" ref="U75"/>
    <hyperlink r:id="rId75" ref="U76"/>
    <hyperlink r:id="rId76" ref="U77"/>
    <hyperlink r:id="rId77" ref="U78"/>
    <hyperlink r:id="rId78" ref="U79"/>
    <hyperlink r:id="rId79" ref="U80"/>
    <hyperlink r:id="rId80" ref="U81"/>
    <hyperlink r:id="rId81" ref="U82"/>
    <hyperlink r:id="rId82" ref="U83"/>
    <hyperlink r:id="rId83" ref="U84"/>
    <hyperlink r:id="rId84" ref="U85"/>
    <hyperlink r:id="rId85" ref="U86"/>
    <hyperlink r:id="rId86" ref="U87"/>
    <hyperlink r:id="rId87" ref="U88"/>
    <hyperlink r:id="rId88" ref="U89"/>
    <hyperlink r:id="rId89" ref="U90"/>
    <hyperlink r:id="rId90" ref="U91"/>
    <hyperlink r:id="rId91" ref="U92"/>
    <hyperlink r:id="rId92" ref="U93"/>
    <hyperlink r:id="rId93" ref="U94"/>
    <hyperlink r:id="rId94" ref="U95"/>
    <hyperlink r:id="rId95" ref="U96"/>
    <hyperlink r:id="rId96" ref="U97"/>
    <hyperlink r:id="rId97" ref="U98"/>
    <hyperlink r:id="rId98" ref="U99"/>
    <hyperlink r:id="rId99" ref="U100"/>
    <hyperlink r:id="rId100" ref="U101"/>
    <hyperlink r:id="rId101" ref="U102"/>
    <hyperlink r:id="rId102" ref="U103"/>
    <hyperlink r:id="rId103" ref="U104"/>
    <hyperlink r:id="rId104" ref="U105"/>
    <hyperlink r:id="rId105" ref="U106"/>
    <hyperlink r:id="rId106" ref="U107"/>
    <hyperlink r:id="rId107" ref="U108"/>
    <hyperlink r:id="rId108" ref="U109"/>
    <hyperlink r:id="rId109" ref="U110"/>
    <hyperlink r:id="rId110" ref="U111"/>
    <hyperlink r:id="rId111" ref="U112"/>
    <hyperlink r:id="rId112" ref="U113"/>
    <hyperlink r:id="rId113" ref="U114"/>
    <hyperlink r:id="rId114" ref="U115"/>
    <hyperlink r:id="rId115" ref="U116"/>
    <hyperlink r:id="rId116" ref="U117"/>
  </hyperlinks>
  <drawing r:id="rId117"/>
</worksheet>
</file>
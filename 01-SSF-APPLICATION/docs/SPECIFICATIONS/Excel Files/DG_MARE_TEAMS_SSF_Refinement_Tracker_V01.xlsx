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3" activeTab="3" autoFilterDateGrouping="1"/>
  </bookViews>
  <sheets>
    <sheet name="JIRA DATA" sheetId="1" state="visible" r:id="rId1"/>
    <sheet name="DASHBOARD" sheetId="2" state="visible" r:id="rId2"/>
    <sheet name="PI PROGRESS" sheetId="3" state="visible" r:id="rId3"/>
    <sheet name="SESSION CALENDAR" sheetId="4" state="visible" r:id="rId4"/>
    <sheet name="SESSIONS AGENDA" sheetId="5" state="visible" r:id="rId5"/>
    <sheet name="SESSION LOG" sheetId="6" state="visible" r:id="rId6"/>
    <sheet name="BURNDOWN CHART DATA" sheetId="7" state="visible" r:id="rId7"/>
    <sheet name="EPIC PROGRESS" sheetId="8" state="visible" r:id="rId8"/>
    <sheet name="BURNUP CHART DATA" sheetId="9" state="visible" r:id="rId9"/>
    <sheet name="SSF_PI#01 SESSION LOG" sheetId="10" state="visible" r:id="rId10"/>
    <sheet name="SSF_PI#01 BURNDOWN" sheetId="11" state="visible" r:id="rId11"/>
    <sheet name="SSF_PI#02 SESSION LOG" sheetId="12" state="visible" r:id="rId12"/>
    <sheet name="SSF_PI#02 BURNDOWN" sheetId="13" state="visible" r:id="rId13"/>
  </sheets>
  <definedNames>
    <definedName name="_xlnm._FilterDatabase" localSheetId="0" hidden="1">'JIRA DATA'!$A$3:$Z$93</definedName>
  </definedNames>
  <calcPr calcId="191028" calcMode="auto" fullCalcOnLoad="1"/>
</workbook>
</file>

<file path=xl/styles.xml><?xml version="1.0" encoding="utf-8"?>
<styleSheet xmlns="http://schemas.openxmlformats.org/spreadsheetml/2006/main">
  <numFmts count="3">
    <numFmt numFmtId="164" formatCode="dddd&quot; &quot;d&quot; &quot;mmmm&quot; &quot;yyyy"/>
    <numFmt numFmtId="165" formatCode="d/m/yyyy"/>
    <numFmt numFmtId="166" formatCode="0.0%"/>
  </numFmts>
  <fonts count="18">
    <font>
      <name val="Calibri"/>
      <color theme="1"/>
      <sz val="11"/>
      <scheme val="minor"/>
    </font>
    <font>
      <name val="Calibri"/>
      <b val="1"/>
      <color rgb="FFFF0000"/>
      <sz val="10"/>
      <scheme val="minor"/>
    </font>
    <font>
      <name val="Calibri"/>
      <sz val="11"/>
    </font>
    <font>
      <name val="Calibri"/>
      <b val="1"/>
      <color rgb="FFFFFFFF"/>
      <sz val="11"/>
      <scheme val="minor"/>
    </font>
    <font>
      <name val="Arial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</font>
    <font>
      <name val="Arial"/>
      <b val="1"/>
      <color theme="1"/>
      <sz val="11"/>
    </font>
    <font>
      <name val="Calibri"/>
      <b val="1"/>
      <color rgb="FFFF0000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b val="1"/>
      <color rgb="004472C4"/>
      <sz val="14"/>
    </font>
    <font>
      <i val="1"/>
    </font>
    <font>
      <i val="1"/>
      <color rgb="00999999"/>
    </font>
    <font>
      <b val="1"/>
      <color rgb="00FFFFFF"/>
      <sz val="14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5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4" fontId="5" fillId="0" borderId="0" pivotButton="0" quotePrefix="0" xfId="0"/>
    <xf numFmtId="0" fontId="6" fillId="2" borderId="0" pivotButton="0" quotePrefix="0" xfId="0"/>
    <xf numFmtId="10" fontId="5" fillId="0" borderId="0" pivotButton="0" quotePrefix="0" xfId="0"/>
    <xf numFmtId="164" fontId="5" fillId="0" borderId="0" pivotButton="0" quotePrefix="0" xfId="0"/>
    <xf numFmtId="164" fontId="3" fillId="3" borderId="1" applyAlignment="1" pivotButton="0" quotePrefix="0" xfId="0">
      <alignment horizontal="center" vertical="center" wrapText="1"/>
    </xf>
    <xf numFmtId="21" fontId="3" fillId="3" borderId="1" applyAlignment="1" pivotButton="0" quotePrefix="0" xfId="0">
      <alignment horizontal="center" vertical="center" wrapText="1"/>
    </xf>
    <xf numFmtId="21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2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right" vertical="top"/>
    </xf>
    <xf numFmtId="0" fontId="9" fillId="0" borderId="0" pivotButton="0" quotePrefix="0" xfId="0"/>
    <xf numFmtId="1" fontId="5" fillId="0" borderId="0" pivotButton="0" quotePrefix="0" xfId="0"/>
    <xf numFmtId="1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0" borderId="0" pivotButton="0" quotePrefix="0" xfId="0"/>
    <xf numFmtId="0" fontId="0" fillId="0" borderId="0" pivotButton="0" quotePrefix="0" xfId="0"/>
    <xf numFmtId="0" fontId="11" fillId="6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1" pivotButton="0" quotePrefix="0" xfId="0"/>
    <xf numFmtId="0" fontId="7" fillId="0" borderId="1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2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166" fontId="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/>
    </xf>
    <xf numFmtId="0" fontId="15" fillId="0" borderId="0" pivotButton="0" quotePrefix="0" xfId="0"/>
    <xf numFmtId="0" fontId="10" fillId="0" borderId="0" pivotButton="0" quotePrefix="0" xfId="0"/>
    <xf numFmtId="0" fontId="17" fillId="8" borderId="0" pivotButton="0" quotePrefix="0" xfId="0"/>
    <xf numFmtId="0" fontId="16" fillId="6" borderId="0" applyAlignment="1" pivotButton="0" quotePrefix="0" xfId="0">
      <alignment horizontal="center" vertical="center"/>
    </xf>
    <xf numFmtId="0" fontId="1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topLeftCell="A23" workbookViewId="0">
      <selection activeCell="E46" sqref="E46"/>
    </sheetView>
  </sheetViews>
  <sheetFormatPr baseColWidth="8" defaultColWidth="14.42578125" defaultRowHeight="15" customHeight="1"/>
  <cols>
    <col width="18" customWidth="1" style="39" min="1" max="2"/>
    <col hidden="1" width="18" customWidth="1" style="39" min="3" max="3"/>
    <col width="76.7109375" customWidth="1" style="39" min="4" max="4"/>
    <col width="18" customWidth="1" style="39" min="5" max="5"/>
    <col width="25.85546875" customWidth="1" style="39" min="6" max="6"/>
    <col width="25.28515625" customWidth="1" style="39" min="7" max="7"/>
    <col width="8.7109375" customWidth="1" style="39" min="8" max="26"/>
  </cols>
  <sheetData>
    <row r="1">
      <c r="A1" s="30" t="inlineStr">
        <is>
          <t>INSTRUCTIONS: Paste your JIRA export here (replace rows 3 onward, keep headers in row 2)</t>
        </is>
      </c>
    </row>
    <row r="2">
      <c r="A2" s="40" t="inlineStr">
        <is>
          <t>Issue Type</t>
        </is>
      </c>
      <c r="B2" s="40" t="inlineStr">
        <is>
          <t>Issue key</t>
        </is>
      </c>
      <c r="C2" s="40" t="inlineStr">
        <is>
          <t>Issue id</t>
        </is>
      </c>
      <c r="D2" s="40" t="inlineStr">
        <is>
          <t>Summary</t>
        </is>
      </c>
      <c r="E2" s="40" t="inlineStr">
        <is>
          <t>Status</t>
        </is>
      </c>
      <c r="F2" s="40" t="inlineStr">
        <is>
          <t>Epic Link</t>
        </is>
      </c>
      <c r="G2" s="40" t="inlineStr">
        <is>
          <t>Story Points</t>
        </is>
      </c>
      <c r="H2" s="41" t="inlineStr">
        <is>
          <t>Labels</t>
        </is>
      </c>
      <c r="I2" s="41" t="inlineStr">
        <is>
          <t>Sprint</t>
        </is>
      </c>
      <c r="J2" s="41" t="inlineStr">
        <is>
          <t>PI</t>
        </is>
      </c>
    </row>
    <row r="3">
      <c r="A3" t="inlineStr">
        <is>
          <t>Story</t>
        </is>
      </c>
      <c r="B3" t="inlineStr">
        <is>
          <t>SSF-164</t>
        </is>
      </c>
      <c r="D3" t="inlineStr">
        <is>
          <t>[MOB] Routing from the menu to the selected element screen</t>
        </is>
      </c>
      <c r="E3" t="inlineStr">
        <is>
          <t>Canceled</t>
        </is>
      </c>
      <c r="F3" t="inlineStr">
        <is>
          <t>App Menu</t>
        </is>
      </c>
      <c r="G3" t="n">
        <v>3</v>
      </c>
      <c r="H3" t="inlineStr">
        <is>
          <t>Mobile, SSF_MOBILE_APP</t>
        </is>
      </c>
      <c r="I3" t="inlineStr">
        <is>
          <t>SSF - PI 01</t>
        </is>
      </c>
    </row>
    <row r="4" hidden="1" s="39">
      <c r="A4" t="inlineStr">
        <is>
          <t>Story</t>
        </is>
      </c>
      <c r="B4" t="inlineStr">
        <is>
          <t>SSF-163</t>
        </is>
      </c>
      <c r="D4" t="inlineStr">
        <is>
          <t>{READY} [MOB] Display the menu</t>
        </is>
      </c>
      <c r="E4" t="inlineStr">
        <is>
          <t>Open</t>
        </is>
      </c>
      <c r="F4" t="inlineStr">
        <is>
          <t>App Menu</t>
        </is>
      </c>
      <c r="G4" t="n">
        <v>2</v>
      </c>
      <c r="H4" t="inlineStr">
        <is>
          <t>Mobile, SSF_MOBILE_APP, SSF_PI#02</t>
        </is>
      </c>
      <c r="I4" t="inlineStr">
        <is>
          <t>SSF - PI 02</t>
        </is>
      </c>
      <c r="J4" t="inlineStr">
        <is>
          <t>SSF_PI#02</t>
        </is>
      </c>
    </row>
    <row r="5" hidden="1" s="39">
      <c r="A5" t="inlineStr">
        <is>
          <t>Story</t>
        </is>
      </c>
      <c r="B5" t="inlineStr">
        <is>
          <t>SSF-182</t>
        </is>
      </c>
      <c r="D5" t="inlineStr">
        <is>
          <t>{DEV READY} [BACK] Endpoint to retrieve vessels data from FMC</t>
        </is>
      </c>
      <c r="E5" t="inlineStr">
        <is>
          <t>Open</t>
        </is>
      </c>
      <c r="F5" t="inlineStr">
        <is>
          <t>Data Exchange w/FMC</t>
        </is>
      </c>
      <c r="G5" t="n">
        <v>3</v>
      </c>
      <c r="H5" t="inlineStr">
        <is>
          <t>SSF_MOBILE_APP</t>
        </is>
      </c>
      <c r="I5" t="inlineStr">
        <is>
          <t>PI 01 - EXTRA</t>
        </is>
      </c>
    </row>
    <row r="6" hidden="1" s="39">
      <c r="A6" t="inlineStr">
        <is>
          <t>Story</t>
        </is>
      </c>
      <c r="B6" t="inlineStr">
        <is>
          <t>SSF-196</t>
        </is>
      </c>
      <c r="D6" t="inlineStr">
        <is>
          <t>[MOB] Catches preference</t>
        </is>
      </c>
      <c r="E6" t="inlineStr">
        <is>
          <t>Open</t>
        </is>
      </c>
      <c r="F6" t="inlineStr">
        <is>
          <t>Departure Declaration</t>
        </is>
      </c>
      <c r="G6" t="n">
        <v>3</v>
      </c>
      <c r="H6" t="inlineStr">
        <is>
          <t>Mobile, SSF_MOBILE_APP, SSF_PI#02</t>
        </is>
      </c>
      <c r="I6" t="inlineStr">
        <is>
          <t>SSF - PI 02</t>
        </is>
      </c>
      <c r="J6" t="inlineStr">
        <is>
          <t>SSF_PI#02</t>
        </is>
      </c>
    </row>
    <row r="7" hidden="1" s="39">
      <c r="A7" t="inlineStr">
        <is>
          <t>Story</t>
        </is>
      </c>
      <c r="B7" t="inlineStr">
        <is>
          <t>SSF-195</t>
        </is>
      </c>
      <c r="D7" t="inlineStr">
        <is>
          <t>[MOB] Declare Catches onboard</t>
        </is>
      </c>
      <c r="E7" t="inlineStr">
        <is>
          <t>Open</t>
        </is>
      </c>
      <c r="F7" t="inlineStr">
        <is>
          <t>Departure Declaration</t>
        </is>
      </c>
      <c r="G7" t="n">
        <v>5</v>
      </c>
      <c r="H7" t="inlineStr">
        <is>
          <t>Mobile, SSF_MOBILE_APP, SSF_PI#02</t>
        </is>
      </c>
      <c r="I7" t="inlineStr">
        <is>
          <t>SSF - PI 02</t>
        </is>
      </c>
      <c r="J7" t="inlineStr">
        <is>
          <t>SSF_PI#02</t>
        </is>
      </c>
    </row>
    <row r="8" hidden="1" s="39">
      <c r="A8" t="inlineStr">
        <is>
          <t>Story</t>
        </is>
      </c>
      <c r="B8" t="inlineStr">
        <is>
          <t>SSF-194</t>
        </is>
      </c>
      <c r="D8" t="inlineStr">
        <is>
          <t>[MOB] Submit Departure Declaration</t>
        </is>
      </c>
      <c r="E8" t="inlineStr">
        <is>
          <t>Open</t>
        </is>
      </c>
      <c r="F8" t="inlineStr">
        <is>
          <t>Departure Declaration</t>
        </is>
      </c>
      <c r="G8" t="n">
        <v>2</v>
      </c>
      <c r="H8" t="inlineStr">
        <is>
          <t>Mobile, SSF_MOBILE_APP, SSF_PI#02</t>
        </is>
      </c>
      <c r="I8" t="inlineStr">
        <is>
          <t>SSF - PI 02</t>
        </is>
      </c>
      <c r="J8" t="inlineStr">
        <is>
          <t>SSF_PI#02</t>
        </is>
      </c>
    </row>
    <row r="9" hidden="1" s="39">
      <c r="A9" t="inlineStr">
        <is>
          <t>Story</t>
        </is>
      </c>
      <c r="B9" t="inlineStr">
        <is>
          <t>SSF-193</t>
        </is>
      </c>
      <c r="D9" t="inlineStr">
        <is>
          <t>[MOB] Departure Declaration Recap Screen</t>
        </is>
      </c>
      <c r="E9" t="inlineStr">
        <is>
          <t>Open</t>
        </is>
      </c>
      <c r="F9" t="inlineStr">
        <is>
          <t>Departure Declaration</t>
        </is>
      </c>
      <c r="G9" t="n">
        <v>3</v>
      </c>
      <c r="H9" t="inlineStr">
        <is>
          <t>Mobile, SSF_MOBILE_APP, SSF_PI#02</t>
        </is>
      </c>
      <c r="I9" t="inlineStr">
        <is>
          <t>SSF - PI 02</t>
        </is>
      </c>
      <c r="J9" t="inlineStr">
        <is>
          <t>SSF_PI#02</t>
        </is>
      </c>
    </row>
    <row r="10" hidden="1" s="39">
      <c r="A10" t="inlineStr">
        <is>
          <t>Story</t>
        </is>
      </c>
      <c r="B10" t="inlineStr">
        <is>
          <t>SSF-192</t>
        </is>
      </c>
      <c r="D10" t="inlineStr">
        <is>
          <t>[BACK] Submit Departure Declaration</t>
        </is>
      </c>
      <c r="E10" t="inlineStr">
        <is>
          <t>Open</t>
        </is>
      </c>
      <c r="F10" t="inlineStr">
        <is>
          <t>Departure Declaration</t>
        </is>
      </c>
      <c r="G10" t="n">
        <v>3</v>
      </c>
      <c r="H10" t="inlineStr">
        <is>
          <t>Backend, SSF_MOBILE_APP, SSF_PI#02</t>
        </is>
      </c>
      <c r="I10" t="inlineStr">
        <is>
          <t>SSF - PI 02</t>
        </is>
      </c>
      <c r="J10" t="inlineStr">
        <is>
          <t>SSF_PI#02</t>
        </is>
      </c>
    </row>
    <row r="11" hidden="1" s="39">
      <c r="A11" t="inlineStr">
        <is>
          <t>Story</t>
        </is>
      </c>
      <c r="B11" t="inlineStr">
        <is>
          <t>SSF-191</t>
        </is>
      </c>
      <c r="D11" t="inlineStr">
        <is>
          <t>[MOB] Gears onboard</t>
        </is>
      </c>
      <c r="E11" t="inlineStr">
        <is>
          <t>Open</t>
        </is>
      </c>
      <c r="F11" t="inlineStr">
        <is>
          <t>Departure Declaration</t>
        </is>
      </c>
      <c r="G11" t="n">
        <v>5</v>
      </c>
      <c r="H11" t="inlineStr">
        <is>
          <t>Mobile, SSF_MOBILE_APP, SSF_PI#02</t>
        </is>
      </c>
      <c r="I11" t="inlineStr">
        <is>
          <t>SSF - PI 02</t>
        </is>
      </c>
      <c r="J11" t="inlineStr">
        <is>
          <t>SSF_PI#02</t>
        </is>
      </c>
    </row>
    <row r="12" hidden="1" s="39">
      <c r="A12" t="inlineStr">
        <is>
          <t>Story</t>
        </is>
      </c>
      <c r="B12" t="inlineStr">
        <is>
          <t>SSF-190</t>
        </is>
      </c>
      <c r="D12" t="inlineStr">
        <is>
          <t>[BACK] Data import endpoint</t>
        </is>
      </c>
      <c r="E12" t="inlineStr">
        <is>
          <t>Open</t>
        </is>
      </c>
      <c r="F12" t="inlineStr">
        <is>
          <t>Departure Declaration</t>
        </is>
      </c>
      <c r="G12" t="n">
        <v>5</v>
      </c>
      <c r="H12" t="inlineStr">
        <is>
          <t>Backend, SSF_MOBILE_APP, SSF_PI#02</t>
        </is>
      </c>
      <c r="I12" t="inlineStr">
        <is>
          <t>SSF - PI 02</t>
        </is>
      </c>
      <c r="J12" t="inlineStr">
        <is>
          <t>SSF_PI#02</t>
        </is>
      </c>
    </row>
    <row r="13" hidden="1" s="39">
      <c r="A13" t="inlineStr">
        <is>
          <t>Story</t>
        </is>
      </c>
      <c r="B13" t="inlineStr">
        <is>
          <t>SSF-189</t>
        </is>
      </c>
      <c r="D13" t="inlineStr">
        <is>
          <t>[MOB] Departure Port selection</t>
        </is>
      </c>
      <c r="E13" t="inlineStr">
        <is>
          <t>Open</t>
        </is>
      </c>
      <c r="F13" t="inlineStr">
        <is>
          <t>Departure Declaration</t>
        </is>
      </c>
      <c r="G13" t="n">
        <v>5</v>
      </c>
      <c r="H13" t="inlineStr">
        <is>
          <t>Mobile, SSF_MOBILE_APP, SSF_PI#02</t>
        </is>
      </c>
      <c r="I13" t="inlineStr">
        <is>
          <t>SSF - PI 02</t>
        </is>
      </c>
      <c r="J13" t="inlineStr">
        <is>
          <t>SSF_PI#02</t>
        </is>
      </c>
    </row>
    <row r="14" hidden="1" s="39">
      <c r="A14" t="inlineStr">
        <is>
          <t>Story</t>
        </is>
      </c>
      <c r="B14" t="inlineStr">
        <is>
          <t>SSF-140</t>
        </is>
      </c>
      <c r="D14" t="inlineStr">
        <is>
          <t>[MOB] Vessel's Empty Gear Management Screen</t>
        </is>
      </c>
      <c r="E14" t="inlineStr">
        <is>
          <t>Ready</t>
        </is>
      </c>
      <c r="F14" t="inlineStr">
        <is>
          <t>Gear Management</t>
        </is>
      </c>
      <c r="G14" t="n">
        <v>2</v>
      </c>
      <c r="H14" t="inlineStr">
        <is>
          <t>Mobile, SSF_MOBILE_APP, SSF_PI#02</t>
        </is>
      </c>
      <c r="I14" t="inlineStr">
        <is>
          <t>SSF - PI 01</t>
        </is>
      </c>
      <c r="J14" t="inlineStr">
        <is>
          <t>SSF_PI#02</t>
        </is>
      </c>
    </row>
    <row r="15" hidden="1" s="39">
      <c r="A15" t="inlineStr">
        <is>
          <t>Story</t>
        </is>
      </c>
      <c r="B15" t="inlineStr">
        <is>
          <t>SSF-188</t>
        </is>
      </c>
      <c r="D15" t="inlineStr">
        <is>
          <t>[MOB] Error Management / Messages</t>
        </is>
      </c>
      <c r="E15" t="inlineStr">
        <is>
          <t>Open</t>
        </is>
      </c>
      <c r="F15" t="inlineStr">
        <is>
          <t>Gear Management</t>
        </is>
      </c>
      <c r="G15" t="n">
        <v>2</v>
      </c>
      <c r="H15" t="inlineStr">
        <is>
          <t>SSF_MOBILE_APP, SSF_PI#02, mobile</t>
        </is>
      </c>
      <c r="I15" t="inlineStr">
        <is>
          <t>SSF - PI 02</t>
        </is>
      </c>
      <c r="J15" t="inlineStr">
        <is>
          <t>SSF_PI#02</t>
        </is>
      </c>
    </row>
    <row r="16" hidden="1" s="39">
      <c r="A16" t="inlineStr">
        <is>
          <t>Story</t>
        </is>
      </c>
      <c r="B16" t="inlineStr">
        <is>
          <t>SSF-152</t>
        </is>
      </c>
      <c r="D16" t="inlineStr">
        <is>
          <t>[BACK] Error Management / Security</t>
        </is>
      </c>
      <c r="E16" t="inlineStr">
        <is>
          <t>Open</t>
        </is>
      </c>
      <c r="F16" t="inlineStr">
        <is>
          <t>Gear Management</t>
        </is>
      </c>
      <c r="G16" t="n">
        <v>2</v>
      </c>
      <c r="H16" t="inlineStr">
        <is>
          <t>Backend, SSF_MOBILE_APP, SSF_PI#02</t>
        </is>
      </c>
      <c r="I16" t="inlineStr">
        <is>
          <t>SSF - PI 02</t>
        </is>
      </c>
      <c r="J16" t="inlineStr">
        <is>
          <t>SSF_PI#02</t>
        </is>
      </c>
    </row>
    <row r="17" hidden="1" s="39">
      <c r="A17" t="inlineStr">
        <is>
          <t>Story</t>
        </is>
      </c>
      <c r="B17" t="inlineStr">
        <is>
          <t>SSF-151</t>
        </is>
      </c>
      <c r="D17" t="inlineStr">
        <is>
          <t>[BACK] Delete Gear</t>
        </is>
      </c>
      <c r="E17" t="inlineStr">
        <is>
          <t>Open</t>
        </is>
      </c>
      <c r="F17" t="inlineStr">
        <is>
          <t>Gear Management</t>
        </is>
      </c>
      <c r="G17" t="n">
        <v>3</v>
      </c>
      <c r="H17" t="inlineStr">
        <is>
          <t>Backend, SSF_MOBILE_APP, SSF_PI#02</t>
        </is>
      </c>
      <c r="I17" t="inlineStr">
        <is>
          <t>SSF - PI 02</t>
        </is>
      </c>
      <c r="J17" t="inlineStr">
        <is>
          <t>SSF_PI#02</t>
        </is>
      </c>
    </row>
    <row r="18" hidden="1" s="39">
      <c r="A18" t="inlineStr">
        <is>
          <t>Story</t>
        </is>
      </c>
      <c r="B18" t="inlineStr">
        <is>
          <t>SSF-150</t>
        </is>
      </c>
      <c r="D18" t="inlineStr">
        <is>
          <t>[BACK] Edit Gear</t>
        </is>
      </c>
      <c r="E18" t="inlineStr">
        <is>
          <t>Open</t>
        </is>
      </c>
      <c r="F18" t="inlineStr">
        <is>
          <t>Gear Management</t>
        </is>
      </c>
      <c r="G18" t="n">
        <v>3</v>
      </c>
      <c r="H18" t="inlineStr">
        <is>
          <t>Backend, SSF_MOBILE_APP, SSF_PI#02</t>
        </is>
      </c>
      <c r="I18" t="inlineStr">
        <is>
          <t>SSF - PI 02</t>
        </is>
      </c>
      <c r="J18" t="inlineStr">
        <is>
          <t>SSF_PI#02</t>
        </is>
      </c>
    </row>
    <row r="19" hidden="1" s="39">
      <c r="A19" t="inlineStr">
        <is>
          <t>Story</t>
        </is>
      </c>
      <c r="B19" t="inlineStr">
        <is>
          <t>SSF-149</t>
        </is>
      </c>
      <c r="D19" t="inlineStr">
        <is>
          <t>[BACK] List of vessel's gear - Retrieval</t>
        </is>
      </c>
      <c r="E19" t="inlineStr">
        <is>
          <t>Open</t>
        </is>
      </c>
      <c r="F19" t="inlineStr">
        <is>
          <t>Gear Management</t>
        </is>
      </c>
      <c r="G19" t="n">
        <v>3</v>
      </c>
      <c r="H19" t="inlineStr">
        <is>
          <t>Backend, SSF_MOBILE_APP, SSF_PI#02</t>
        </is>
      </c>
      <c r="I19" t="inlineStr">
        <is>
          <t>SSF - PI 02</t>
        </is>
      </c>
      <c r="J19" t="inlineStr">
        <is>
          <t>SSF_PI#02</t>
        </is>
      </c>
    </row>
    <row r="20" hidden="1" s="39">
      <c r="A20" t="inlineStr">
        <is>
          <t>Story</t>
        </is>
      </c>
      <c r="B20" t="inlineStr">
        <is>
          <t>SSF-148</t>
        </is>
      </c>
      <c r="D20" t="inlineStr">
        <is>
          <t>[BACK] List of vessel's gear - New Gear</t>
        </is>
      </c>
      <c r="E20" t="inlineStr">
        <is>
          <t>Open</t>
        </is>
      </c>
      <c r="F20" t="inlineStr">
        <is>
          <t>Gear Management</t>
        </is>
      </c>
      <c r="G20" t="n">
        <v>3</v>
      </c>
      <c r="H20" t="inlineStr">
        <is>
          <t>Backend, SSF_MOBILE_APP, SSF_PI#02</t>
        </is>
      </c>
      <c r="I20" t="inlineStr">
        <is>
          <t>SSF - PI 02</t>
        </is>
      </c>
      <c r="J20" t="inlineStr">
        <is>
          <t>SSF_PI#02</t>
        </is>
      </c>
    </row>
    <row r="21" ht="15.75" customHeight="1" s="39">
      <c r="A21" t="inlineStr">
        <is>
          <t>Story</t>
        </is>
      </c>
      <c r="B21" t="inlineStr">
        <is>
          <t>SSF-147</t>
        </is>
      </c>
      <c r="D21" t="inlineStr">
        <is>
          <t>[BACK] Register new gear</t>
        </is>
      </c>
      <c r="E21" t="inlineStr">
        <is>
          <t>Open</t>
        </is>
      </c>
      <c r="F21" t="inlineStr">
        <is>
          <t>Gear Management</t>
        </is>
      </c>
      <c r="G21" t="n">
        <v>3</v>
      </c>
      <c r="H21" t="inlineStr">
        <is>
          <t>Backend, SSF_MOBILE_APP, SSF_PI#02</t>
        </is>
      </c>
      <c r="I21" t="inlineStr">
        <is>
          <t>SSF - PI 02</t>
        </is>
      </c>
      <c r="J21" t="inlineStr">
        <is>
          <t>SSF_PI#02</t>
        </is>
      </c>
    </row>
    <row r="22" ht="15.75" customHeight="1" s="39">
      <c r="A22" t="inlineStr">
        <is>
          <t>Story</t>
        </is>
      </c>
      <c r="B22" t="inlineStr">
        <is>
          <t>SSF-146</t>
        </is>
      </c>
      <c r="D22" t="inlineStr">
        <is>
          <t>[MOB] Delete Gear</t>
        </is>
      </c>
      <c r="E22" t="inlineStr">
        <is>
          <t>Open</t>
        </is>
      </c>
      <c r="F22" t="inlineStr">
        <is>
          <t>Gear Management</t>
        </is>
      </c>
      <c r="G22" t="n">
        <v>2</v>
      </c>
      <c r="H22" t="inlineStr">
        <is>
          <t>Mobile, SSF_MOBILE_APP, SSF_PI#02</t>
        </is>
      </c>
      <c r="I22" t="inlineStr">
        <is>
          <t>SSF - PI 02</t>
        </is>
      </c>
      <c r="J22" t="inlineStr">
        <is>
          <t>SSF_PI#02</t>
        </is>
      </c>
    </row>
    <row r="23" ht="15.75" customHeight="1" s="39">
      <c r="A23" t="inlineStr">
        <is>
          <t>Story</t>
        </is>
      </c>
      <c r="B23" t="inlineStr">
        <is>
          <t>SSF-145</t>
        </is>
      </c>
      <c r="D23" t="inlineStr">
        <is>
          <t>[MOB] Edit Gear</t>
        </is>
      </c>
      <c r="E23" t="inlineStr">
        <is>
          <t>Open</t>
        </is>
      </c>
      <c r="F23" t="inlineStr">
        <is>
          <t>Gear Management</t>
        </is>
      </c>
      <c r="G23" t="n">
        <v>2</v>
      </c>
      <c r="H23" t="inlineStr">
        <is>
          <t>Mobile, SSF_MOBILE_APP, SSF_PI#02</t>
        </is>
      </c>
      <c r="I23" t="inlineStr">
        <is>
          <t>SSF - PI 02</t>
        </is>
      </c>
      <c r="J23" t="inlineStr">
        <is>
          <t>SSF_PI#02</t>
        </is>
      </c>
    </row>
    <row r="24" ht="15.75" customHeight="1" s="39">
      <c r="A24" t="inlineStr">
        <is>
          <t>Story</t>
        </is>
      </c>
      <c r="B24" t="inlineStr">
        <is>
          <t>SSF-144</t>
        </is>
      </c>
      <c r="D24" t="inlineStr">
        <is>
          <t>[MOB] Vessel's Gear Screen - Gear List</t>
        </is>
      </c>
      <c r="E24" t="inlineStr">
        <is>
          <t>Open</t>
        </is>
      </c>
      <c r="F24" t="inlineStr">
        <is>
          <t>Gear Management</t>
        </is>
      </c>
      <c r="G24" t="n">
        <v>2</v>
      </c>
      <c r="H24" t="inlineStr">
        <is>
          <t>Mobile, SSF_MOBILE_APP, SSF_PI#02</t>
        </is>
      </c>
      <c r="I24" t="inlineStr">
        <is>
          <t>SSF - PI 02</t>
        </is>
      </c>
      <c r="J24" t="inlineStr">
        <is>
          <t>SSF_PI#02</t>
        </is>
      </c>
    </row>
    <row r="25" ht="15.75" customHeight="1" s="39">
      <c r="A25" t="inlineStr">
        <is>
          <t>Story</t>
        </is>
      </c>
      <c r="B25" t="inlineStr">
        <is>
          <t>SSF-143</t>
        </is>
      </c>
      <c r="D25" t="inlineStr">
        <is>
          <t>[MOB] Register new gear - Gear characteristics</t>
        </is>
      </c>
      <c r="E25" t="inlineStr">
        <is>
          <t>Open</t>
        </is>
      </c>
      <c r="F25" t="inlineStr">
        <is>
          <t>Gear Management</t>
        </is>
      </c>
      <c r="G25" t="n">
        <v>5</v>
      </c>
      <c r="H25" t="inlineStr">
        <is>
          <t>Mobile, SSF_MOBILE_APP, SSF_PI#02</t>
        </is>
      </c>
      <c r="I25" t="inlineStr">
        <is>
          <t>SSF - TO REFINE</t>
        </is>
      </c>
      <c r="J25" t="inlineStr">
        <is>
          <t>SSF_PI#02</t>
        </is>
      </c>
    </row>
    <row r="26" ht="15.75" customHeight="1" s="39">
      <c r="A26" t="inlineStr">
        <is>
          <t>Story</t>
        </is>
      </c>
      <c r="B26" t="inlineStr">
        <is>
          <t>SSF-142</t>
        </is>
      </c>
      <c r="D26" t="inlineStr">
        <is>
          <t>[MOB] Register new gear - Form submission</t>
        </is>
      </c>
      <c r="E26" t="inlineStr">
        <is>
          <t>Open</t>
        </is>
      </c>
      <c r="F26" t="inlineStr">
        <is>
          <t>Gear Management</t>
        </is>
      </c>
      <c r="G26" t="n">
        <v>3</v>
      </c>
      <c r="H26" t="inlineStr">
        <is>
          <t>Mobile, SSF_MOBILE_APP, SSF_PI#02</t>
        </is>
      </c>
      <c r="I26" t="inlineStr">
        <is>
          <t>SSF - TO REFINE</t>
        </is>
      </c>
      <c r="J26" t="inlineStr">
        <is>
          <t>SSF_PI#02</t>
        </is>
      </c>
    </row>
    <row r="27" ht="15.75" customHeight="1" s="39">
      <c r="A27" t="inlineStr">
        <is>
          <t>Story</t>
        </is>
      </c>
      <c r="B27" t="inlineStr">
        <is>
          <t>SSF-141</t>
        </is>
      </c>
      <c r="D27" t="inlineStr">
        <is>
          <t>[MOB] Register new gear - Init Creation Form</t>
        </is>
      </c>
      <c r="E27" t="inlineStr">
        <is>
          <t>Open</t>
        </is>
      </c>
      <c r="F27" t="inlineStr">
        <is>
          <t>Gear Management</t>
        </is>
      </c>
      <c r="G27" t="n">
        <v>3</v>
      </c>
      <c r="H27" t="inlineStr">
        <is>
          <t>Mobile, SSF_MOBILE_APP, SSF_PI#02</t>
        </is>
      </c>
      <c r="I27" t="inlineStr">
        <is>
          <t>SSF - TO REFINE</t>
        </is>
      </c>
      <c r="J27" t="inlineStr">
        <is>
          <t>SSF_PI#02</t>
        </is>
      </c>
    </row>
    <row r="28" ht="15.75" customHeight="1" s="39">
      <c r="A28" t="inlineStr">
        <is>
          <t>Story</t>
        </is>
      </c>
      <c r="B28" t="inlineStr">
        <is>
          <t>SSF-215</t>
        </is>
      </c>
      <c r="D28" t="inlineStr">
        <is>
          <t>[BACK] Pending Hauls - GET to retrieve the pending hauls</t>
        </is>
      </c>
      <c r="E28" t="inlineStr">
        <is>
          <t>Open</t>
        </is>
      </c>
      <c r="F28" t="inlineStr">
        <is>
          <t>Hauls</t>
        </is>
      </c>
      <c r="G28" t="n">
        <v>3</v>
      </c>
      <c r="H28" t="inlineStr">
        <is>
          <t>Backend, SSF_MOBILE_APP, SSF_PI#02</t>
        </is>
      </c>
      <c r="I28" t="inlineStr">
        <is>
          <t>SSF - PI 02</t>
        </is>
      </c>
      <c r="J28" t="inlineStr">
        <is>
          <t>SSF_PI#02</t>
        </is>
      </c>
    </row>
    <row r="29" ht="15.75" customHeight="1" s="39">
      <c r="A29" t="inlineStr">
        <is>
          <t>Story</t>
        </is>
      </c>
      <c r="B29" t="inlineStr">
        <is>
          <t>SSF-214</t>
        </is>
      </c>
      <c r="D29" t="inlineStr">
        <is>
          <t>[BACK] Add Catches - POST / PUT</t>
        </is>
      </c>
      <c r="E29" t="inlineStr">
        <is>
          <t>Open</t>
        </is>
      </c>
      <c r="F29" t="inlineStr">
        <is>
          <t>Hauls</t>
        </is>
      </c>
      <c r="G29" t="n">
        <v>3</v>
      </c>
      <c r="H29" t="inlineStr">
        <is>
          <t>Backend, SSF_MOBILE_APP, SSF_PI#02</t>
        </is>
      </c>
      <c r="I29" t="inlineStr">
        <is>
          <t>SSF - PI 02</t>
        </is>
      </c>
      <c r="J29" t="inlineStr">
        <is>
          <t>SSF_PI#02</t>
        </is>
      </c>
    </row>
    <row r="30" ht="15.75" customHeight="1" s="39">
      <c r="A30" t="inlineStr">
        <is>
          <t>Story</t>
        </is>
      </c>
      <c r="B30" t="inlineStr">
        <is>
          <t>SSF-213</t>
        </is>
      </c>
      <c r="D30" t="inlineStr">
        <is>
          <t>[BACK] Add Hauls - POST / PUT pour créer un haul</t>
        </is>
      </c>
      <c r="E30" t="inlineStr">
        <is>
          <t>Open</t>
        </is>
      </c>
      <c r="F30" t="inlineStr">
        <is>
          <t>Hauls</t>
        </is>
      </c>
      <c r="G30" t="n">
        <v>3</v>
      </c>
      <c r="H30" t="inlineStr">
        <is>
          <t>Backend, SSF_MOBILE_APP, SSF_PI#01</t>
        </is>
      </c>
      <c r="I30" t="inlineStr">
        <is>
          <t>SSF - PI 02</t>
        </is>
      </c>
      <c r="J30" t="inlineStr">
        <is>
          <t>SSF_PI#01</t>
        </is>
      </c>
    </row>
    <row r="31" ht="15.75" customHeight="1" s="39">
      <c r="A31" t="inlineStr">
        <is>
          <t>Story</t>
        </is>
      </c>
      <c r="B31" t="inlineStr">
        <is>
          <t>SSF-212</t>
        </is>
      </c>
      <c r="D31" t="inlineStr">
        <is>
          <t>[MOB] Add hauls - Gear haul form screen</t>
        </is>
      </c>
      <c r="E31" t="inlineStr">
        <is>
          <t>Open</t>
        </is>
      </c>
      <c r="F31" t="inlineStr">
        <is>
          <t>Hauls</t>
        </is>
      </c>
      <c r="G31" t="n">
        <v>3</v>
      </c>
      <c r="H31" t="inlineStr">
        <is>
          <t>Mobile, SSF_MOBILE_APP, SSF_PI#02</t>
        </is>
      </c>
      <c r="I31" t="inlineStr">
        <is>
          <t>SSF - PI 02</t>
        </is>
      </c>
      <c r="J31" t="inlineStr">
        <is>
          <t>SSF_PI#02</t>
        </is>
      </c>
    </row>
    <row r="32" ht="15.75" customHeight="1" s="39">
      <c r="A32" t="inlineStr">
        <is>
          <t>Story</t>
        </is>
      </c>
      <c r="B32" t="inlineStr">
        <is>
          <t>SSF-211</t>
        </is>
      </c>
      <c r="D32" t="inlineStr">
        <is>
          <t>[MOB]  Add Catches - Form weight, number of individual, size class, discarded</t>
        </is>
      </c>
      <c r="E32" t="inlineStr">
        <is>
          <t>Open</t>
        </is>
      </c>
      <c r="F32" t="inlineStr">
        <is>
          <t>Hauls</t>
        </is>
      </c>
      <c r="G32" t="n">
        <v>2</v>
      </c>
      <c r="H32" t="inlineStr">
        <is>
          <t>Mobile, SSF_MOBILE_APP, SSF_PI#02</t>
        </is>
      </c>
      <c r="I32" t="inlineStr">
        <is>
          <t>SSF - PI 02</t>
        </is>
      </c>
      <c r="J32" t="inlineStr">
        <is>
          <t>SSF_PI#02</t>
        </is>
      </c>
    </row>
    <row r="33" ht="15.75" customHeight="1" s="39">
      <c r="A33" t="inlineStr">
        <is>
          <t>Story</t>
        </is>
      </c>
      <c r="B33" t="inlineStr">
        <is>
          <t>SSF-210</t>
        </is>
      </c>
      <c r="D33" t="inlineStr">
        <is>
          <t>[MOB]  Add Catches - Review screen</t>
        </is>
      </c>
      <c r="E33" t="inlineStr">
        <is>
          <t>Open</t>
        </is>
      </c>
      <c r="F33" t="inlineStr">
        <is>
          <t>Hauls</t>
        </is>
      </c>
      <c r="G33" t="n">
        <v>2</v>
      </c>
      <c r="H33" t="inlineStr">
        <is>
          <t>Mobile, SSF_MOBILE_APP, SSF_PI#02</t>
        </is>
      </c>
      <c r="I33" t="inlineStr">
        <is>
          <t>SSF - PI 02</t>
        </is>
      </c>
      <c r="J33" t="inlineStr">
        <is>
          <t>SSF_PI#02</t>
        </is>
      </c>
    </row>
    <row r="34" ht="15.75" customHeight="1" s="39">
      <c r="A34" t="inlineStr">
        <is>
          <t>Story</t>
        </is>
      </c>
      <c r="B34" t="inlineStr">
        <is>
          <t>SSF-209</t>
        </is>
      </c>
      <c r="D34" t="inlineStr">
        <is>
          <t>[MOB]  Add Catches - Form for discarded catches (reason, weight etc)</t>
        </is>
      </c>
      <c r="E34" t="inlineStr">
        <is>
          <t>Open</t>
        </is>
      </c>
      <c r="F34" t="inlineStr">
        <is>
          <t>Hauls</t>
        </is>
      </c>
      <c r="G34" t="n">
        <v>3</v>
      </c>
      <c r="H34" t="inlineStr">
        <is>
          <t>Mobile, SSF_MOBILE_APP, SSF_PI#02</t>
        </is>
      </c>
      <c r="I34" t="inlineStr">
        <is>
          <t>SSF - PI 02</t>
        </is>
      </c>
      <c r="J34" t="inlineStr">
        <is>
          <t>SSF_PI#02</t>
        </is>
      </c>
    </row>
    <row r="35" ht="15.75" customHeight="1" s="39">
      <c r="A35" t="inlineStr">
        <is>
          <t>Story</t>
        </is>
      </c>
      <c r="B35" t="inlineStr">
        <is>
          <t>SSF-208</t>
        </is>
      </c>
      <c r="D35" t="inlineStr">
        <is>
          <t>[MOB] Add catches - Form search species and select</t>
        </is>
      </c>
      <c r="E35" t="inlineStr">
        <is>
          <t>Open</t>
        </is>
      </c>
      <c r="F35" t="inlineStr">
        <is>
          <t>Hauls</t>
        </is>
      </c>
      <c r="G35" t="n">
        <v>3</v>
      </c>
      <c r="H35" t="inlineStr">
        <is>
          <t>Mobile, SSF_MOBILE_APP, SSF_PI#02</t>
        </is>
      </c>
      <c r="I35" t="inlineStr">
        <is>
          <t>SSF - PI 02</t>
        </is>
      </c>
      <c r="J35" t="inlineStr">
        <is>
          <t>SSF_PI#02</t>
        </is>
      </c>
    </row>
    <row r="36" ht="15.75" customHeight="1" s="39">
      <c r="A36" t="inlineStr">
        <is>
          <t>Story</t>
        </is>
      </c>
      <c r="B36" t="inlineStr">
        <is>
          <t>SSF-207</t>
        </is>
      </c>
      <c r="D36" t="inlineStr">
        <is>
          <t>[MOB] Add hauls - Gear set gear selection</t>
        </is>
      </c>
      <c r="E36" t="inlineStr">
        <is>
          <t>Open</t>
        </is>
      </c>
      <c r="F36" t="inlineStr">
        <is>
          <t>Hauls</t>
        </is>
      </c>
      <c r="G36" t="n">
        <v>3</v>
      </c>
      <c r="H36" t="inlineStr">
        <is>
          <t>Mobile, SSF_MOBILE_APP, SSF_PI#02</t>
        </is>
      </c>
      <c r="I36" t="inlineStr">
        <is>
          <t>SSF - PI 02</t>
        </is>
      </c>
      <c r="J36" t="inlineStr">
        <is>
          <t>SSF_PI#02</t>
        </is>
      </c>
    </row>
    <row r="37" ht="15.75" customHeight="1" s="39">
      <c r="A37" t="inlineStr">
        <is>
          <t>Story</t>
        </is>
      </c>
      <c r="B37" t="inlineStr">
        <is>
          <t>SSF-206</t>
        </is>
      </c>
      <c r="D37" t="inlineStr">
        <is>
          <t>[MOB] Add hauls - Gear set map view</t>
        </is>
      </c>
      <c r="E37" t="inlineStr">
        <is>
          <t>Open</t>
        </is>
      </c>
      <c r="F37" t="inlineStr">
        <is>
          <t>Hauls</t>
        </is>
      </c>
      <c r="G37" t="n">
        <v>3</v>
      </c>
      <c r="H37" t="inlineStr">
        <is>
          <t>Mobile, SSF_MOBILE_APP, SSF_PI#02</t>
        </is>
      </c>
      <c r="I37" t="inlineStr">
        <is>
          <t>SSF - PI 02</t>
        </is>
      </c>
      <c r="J37" t="inlineStr">
        <is>
          <t>SSF_PI#02</t>
        </is>
      </c>
    </row>
    <row r="38" ht="15.75" customHeight="1" s="39">
      <c r="A38" t="inlineStr">
        <is>
          <t>Story</t>
        </is>
      </c>
      <c r="B38" t="inlineStr">
        <is>
          <t>SSF-205</t>
        </is>
      </c>
      <c r="D38" t="inlineStr">
        <is>
          <t>[MOB] Hauls screen</t>
        </is>
      </c>
      <c r="E38" t="inlineStr">
        <is>
          <t>Open</t>
        </is>
      </c>
      <c r="F38" t="inlineStr">
        <is>
          <t>Hauls</t>
        </is>
      </c>
      <c r="G38" t="n">
        <v>3</v>
      </c>
      <c r="H38" t="inlineStr">
        <is>
          <t>Mobile, SSF_MOBILE_APP, SSF_PI#02</t>
        </is>
      </c>
      <c r="I38" t="inlineStr">
        <is>
          <t>SSF - PI 02</t>
        </is>
      </c>
      <c r="J38" t="inlineStr">
        <is>
          <t>SSF_PI#02</t>
        </is>
      </c>
    </row>
    <row r="39" ht="15.75" customHeight="1" s="39">
      <c r="A39" t="inlineStr">
        <is>
          <t>Story</t>
        </is>
      </c>
      <c r="B39" t="inlineStr">
        <is>
          <t>SSF-160</t>
        </is>
      </c>
      <c r="D39" t="inlineStr">
        <is>
          <t>[MOB] Fishing Trips Widget</t>
        </is>
      </c>
      <c r="E39" t="inlineStr">
        <is>
          <t>Open</t>
        </is>
      </c>
      <c r="F39" t="inlineStr">
        <is>
          <t>Home Screen</t>
        </is>
      </c>
      <c r="G39" t="n">
        <v>1</v>
      </c>
      <c r="H39" t="inlineStr">
        <is>
          <t>Mobile, SSF_MOBILE_APP</t>
        </is>
      </c>
      <c r="I39" t="inlineStr">
        <is>
          <t>PI 01 - EXTRA</t>
        </is>
      </c>
    </row>
    <row r="40" ht="15.75" customHeight="1" s="39">
      <c r="A40" t="inlineStr">
        <is>
          <t>Story</t>
        </is>
      </c>
      <c r="B40" t="inlineStr">
        <is>
          <t>SSF-155</t>
        </is>
      </c>
      <c r="D40" t="inlineStr">
        <is>
          <t>{READY} [MOB] Vessel selection quick access</t>
        </is>
      </c>
      <c r="E40" t="inlineStr">
        <is>
          <t>Ready</t>
        </is>
      </c>
      <c r="F40" t="inlineStr">
        <is>
          <t>Home Screen</t>
        </is>
      </c>
      <c r="G40" t="n">
        <v>2</v>
      </c>
      <c r="H40" t="inlineStr">
        <is>
          <t>Mobile, SSF_MOBILE_APP</t>
        </is>
      </c>
      <c r="I40" t="inlineStr">
        <is>
          <t>PI 01 - EXTRA</t>
        </is>
      </c>
    </row>
    <row r="41" ht="15.75" customHeight="1" s="39">
      <c r="A41" t="inlineStr">
        <is>
          <t>Story</t>
        </is>
      </c>
      <c r="B41" t="inlineStr">
        <is>
          <t>SSF-184</t>
        </is>
      </c>
      <c r="D41" t="inlineStr">
        <is>
          <t>TO UPDATE - [MOB] Session &amp; Network Widget - Reconnection Logic</t>
        </is>
      </c>
      <c r="E41" t="inlineStr">
        <is>
          <t>Ready</t>
        </is>
      </c>
      <c r="F41" t="inlineStr">
        <is>
          <t>Home Screen</t>
        </is>
      </c>
      <c r="G41" t="n">
        <v>2</v>
      </c>
      <c r="H41" t="inlineStr">
        <is>
          <t>Mobile, SSF_MOBILE_APP, SSF_PI#01</t>
        </is>
      </c>
      <c r="I41" t="inlineStr">
        <is>
          <t>SSF - PI 01</t>
        </is>
      </c>
      <c r="J41" t="inlineStr">
        <is>
          <t>SSF_PI#01</t>
        </is>
      </c>
    </row>
    <row r="42" ht="15.75" customHeight="1" s="39">
      <c r="A42" t="inlineStr">
        <is>
          <t>Story</t>
        </is>
      </c>
      <c r="B42" t="inlineStr">
        <is>
          <t>SSF-173</t>
        </is>
      </c>
      <c r="D42" t="inlineStr">
        <is>
          <t>[MOB] Home Screen (Mocked)</t>
        </is>
      </c>
      <c r="E42" t="inlineStr">
        <is>
          <t>Ready</t>
        </is>
      </c>
      <c r="F42" t="inlineStr">
        <is>
          <t>Home Screen</t>
        </is>
      </c>
      <c r="G42" t="n">
        <v>2</v>
      </c>
      <c r="H42" t="inlineStr">
        <is>
          <t>Mobile, SSF_MOBILE_APP, SSF_PI#01</t>
        </is>
      </c>
      <c r="I42" t="inlineStr">
        <is>
          <t>SSF - PI 01</t>
        </is>
      </c>
      <c r="J42" t="inlineStr">
        <is>
          <t>SSF_PI#01</t>
        </is>
      </c>
    </row>
    <row r="43" ht="15.75" customHeight="1" s="39">
      <c r="A43" t="inlineStr">
        <is>
          <t>Story</t>
        </is>
      </c>
      <c r="B43" t="inlineStr">
        <is>
          <t>SSF-153</t>
        </is>
      </c>
      <c r="D43" t="inlineStr">
        <is>
          <t>TO UPDATE - [MOB] Session &amp; Network Widget</t>
        </is>
      </c>
      <c r="E43" t="inlineStr">
        <is>
          <t>Ready</t>
        </is>
      </c>
      <c r="F43" t="inlineStr">
        <is>
          <t>Home Screen</t>
        </is>
      </c>
      <c r="G43" t="n">
        <v>3</v>
      </c>
      <c r="H43" t="inlineStr">
        <is>
          <t>Mobile, SSF_MOBILE_APP, SSF_PI#01</t>
        </is>
      </c>
      <c r="I43" t="inlineStr">
        <is>
          <t>SSF - PI 01</t>
        </is>
      </c>
      <c r="J43" t="inlineStr">
        <is>
          <t>SSF_PI#01</t>
        </is>
      </c>
    </row>
    <row r="44" ht="15.75" customHeight="1" s="39">
      <c r="A44" t="inlineStr">
        <is>
          <t>Story</t>
        </is>
      </c>
      <c r="B44" t="inlineStr">
        <is>
          <t>SSF-175</t>
        </is>
      </c>
      <c r="D44" t="inlineStr">
        <is>
          <t>{DEV READY} [MOB] Setup AWS for Login redirect URI (App link, Universal Link)</t>
        </is>
      </c>
      <c r="E44" t="inlineStr">
        <is>
          <t>Ready</t>
        </is>
      </c>
      <c r="F44" t="inlineStr">
        <is>
          <t>INFRA</t>
        </is>
      </c>
      <c r="G44" t="n">
        <v>2</v>
      </c>
      <c r="H44" t="inlineStr">
        <is>
          <t>SSF_MOBILE_APP, SSF_PI#01</t>
        </is>
      </c>
      <c r="I44" t="inlineStr">
        <is>
          <t>SSF - 01</t>
        </is>
      </c>
      <c r="J44" t="inlineStr">
        <is>
          <t>SSF_PI#01</t>
        </is>
      </c>
    </row>
    <row r="45" ht="15.75" customHeight="1" s="39">
      <c r="A45" t="inlineStr">
        <is>
          <t>Story</t>
        </is>
      </c>
      <c r="B45" t="inlineStr">
        <is>
          <t>SSF-104</t>
        </is>
      </c>
      <c r="D45" t="inlineStr">
        <is>
          <t>{DEV READY} [BACK] Gitlab CI for Ansible</t>
        </is>
      </c>
      <c r="E45" t="inlineStr">
        <is>
          <t>Open</t>
        </is>
      </c>
      <c r="F45" t="inlineStr">
        <is>
          <t>INFRA</t>
        </is>
      </c>
      <c r="G45" t="n">
        <v>2</v>
      </c>
      <c r="H45" t="inlineStr">
        <is>
          <t>SSF_MOBILE_APP, SSF_PI#01, backend</t>
        </is>
      </c>
      <c r="I45" t="inlineStr">
        <is>
          <t>SSF - PI 01</t>
        </is>
      </c>
      <c r="J45" t="inlineStr">
        <is>
          <t>SSF_PI#01</t>
        </is>
      </c>
    </row>
    <row r="46" ht="15.75" customHeight="1" s="39">
      <c r="A46" t="inlineStr">
        <is>
          <t>Story</t>
        </is>
      </c>
      <c r="B46" t="inlineStr">
        <is>
          <t>SSF-103</t>
        </is>
      </c>
      <c r="D46" t="inlineStr">
        <is>
          <t>{DEV READY} [BACK] Deploy App Server on AWS (Ansible)</t>
        </is>
      </c>
      <c r="E46" t="inlineStr">
        <is>
          <t>Open</t>
        </is>
      </c>
      <c r="F46" t="inlineStr">
        <is>
          <t>INFRA</t>
        </is>
      </c>
      <c r="G46" t="n">
        <v>2</v>
      </c>
      <c r="H46" t="inlineStr">
        <is>
          <t>SSF_MOBILE_APP, SSF_PI#01, backend</t>
        </is>
      </c>
      <c r="I46" t="inlineStr">
        <is>
          <t>SSF - PI 01</t>
        </is>
      </c>
      <c r="J46" t="inlineStr">
        <is>
          <t>SSF_PI#01</t>
        </is>
      </c>
    </row>
    <row r="47" ht="15.75" customHeight="1" s="39">
      <c r="A47" t="inlineStr">
        <is>
          <t>Story</t>
        </is>
      </c>
      <c r="B47" t="inlineStr">
        <is>
          <t>SSF-100</t>
        </is>
      </c>
      <c r="D47" t="inlineStr">
        <is>
          <t>{DEV READY} [BACK] Infra as Code implementation on AWS (Terraform)</t>
        </is>
      </c>
      <c r="E47" t="inlineStr">
        <is>
          <t>In review</t>
        </is>
      </c>
      <c r="F47" t="inlineStr">
        <is>
          <t>INFRA</t>
        </is>
      </c>
      <c r="G47" t="n">
        <v>5</v>
      </c>
      <c r="H47" t="inlineStr">
        <is>
          <t>SSF_MOBILE_APP, SSF_PI#01, backend</t>
        </is>
      </c>
      <c r="I47" t="inlineStr">
        <is>
          <t>SSF - PI 01</t>
        </is>
      </c>
      <c r="J47" t="inlineStr">
        <is>
          <t>SSF_PI#01</t>
        </is>
      </c>
    </row>
    <row r="48" ht="15.75" customHeight="1" s="39">
      <c r="A48" t="inlineStr">
        <is>
          <t>Story</t>
        </is>
      </c>
      <c r="B48" t="inlineStr">
        <is>
          <t>SSF-99</t>
        </is>
      </c>
      <c r="D48" t="inlineStr">
        <is>
          <t>{DEV READY} [BACK] Initiate CI/CD</t>
        </is>
      </c>
      <c r="E48" t="inlineStr">
        <is>
          <t>Open</t>
        </is>
      </c>
      <c r="F48" t="inlineStr">
        <is>
          <t>INFRA</t>
        </is>
      </c>
      <c r="G48" t="n">
        <v>2</v>
      </c>
      <c r="H48" t="inlineStr">
        <is>
          <t>SSF_MOBILE_APP, SSF_PI#01</t>
        </is>
      </c>
      <c r="I48" t="inlineStr">
        <is>
          <t>SSF - PI 01</t>
        </is>
      </c>
      <c r="J48" t="inlineStr">
        <is>
          <t>SSF_PI#01</t>
        </is>
      </c>
    </row>
    <row r="49" ht="15.75" customHeight="1" s="39">
      <c r="A49" t="inlineStr">
        <is>
          <t>Story</t>
        </is>
      </c>
      <c r="B49" t="inlineStr">
        <is>
          <t>SSF-98</t>
        </is>
      </c>
      <c r="D49" t="inlineStr">
        <is>
          <t>{DEV READY} [MOB] Initiate CI/CD</t>
        </is>
      </c>
      <c r="E49" t="inlineStr">
        <is>
          <t>Open</t>
        </is>
      </c>
      <c r="F49" t="inlineStr">
        <is>
          <t>INFRA</t>
        </is>
      </c>
      <c r="G49" t="n">
        <v>2</v>
      </c>
      <c r="H49" t="inlineStr">
        <is>
          <t>SSF_MOBILE_APP, SSF_PI#01</t>
        </is>
      </c>
      <c r="I49" t="inlineStr">
        <is>
          <t>SSF - PI 01</t>
        </is>
      </c>
      <c r="J49" t="inlineStr">
        <is>
          <t>SSF_PI#01</t>
        </is>
      </c>
    </row>
    <row r="50" ht="15.75" customHeight="1" s="39">
      <c r="A50" t="inlineStr">
        <is>
          <t>Story</t>
        </is>
      </c>
      <c r="B50" t="inlineStr">
        <is>
          <t>SSF-169</t>
        </is>
      </c>
      <c r="D50" t="inlineStr">
        <is>
          <t>[BACK] Languages MDR Ref Data</t>
        </is>
      </c>
      <c r="E50" t="inlineStr">
        <is>
          <t>Open</t>
        </is>
      </c>
      <c r="F50" t="inlineStr">
        <is>
          <t>Language Management</t>
        </is>
      </c>
      <c r="G50" t="n">
        <v>5</v>
      </c>
      <c r="H50" t="inlineStr">
        <is>
          <t>Backend, SSF_MOBILE_APP</t>
        </is>
      </c>
      <c r="I50" t="inlineStr">
        <is>
          <t>PI 01 - EXTRA</t>
        </is>
      </c>
    </row>
    <row r="51" ht="15.75" customHeight="1" s="39">
      <c r="A51" t="inlineStr">
        <is>
          <t>Story</t>
        </is>
      </c>
      <c r="B51" t="inlineStr">
        <is>
          <t>SSF-168</t>
        </is>
      </c>
      <c r="D51" t="inlineStr">
        <is>
          <t>[MOB] Language Override</t>
        </is>
      </c>
      <c r="E51" t="inlineStr">
        <is>
          <t>Open</t>
        </is>
      </c>
      <c r="F51" t="inlineStr">
        <is>
          <t>Language Management</t>
        </is>
      </c>
      <c r="G51" t="n">
        <v>5</v>
      </c>
      <c r="H51" t="inlineStr">
        <is>
          <t>SSF_MOBILE_APP, mobile</t>
        </is>
      </c>
      <c r="I51" t="inlineStr">
        <is>
          <t>PI 01 - EXTRA</t>
        </is>
      </c>
    </row>
    <row r="52" ht="15.75" customHeight="1" s="39">
      <c r="A52" t="inlineStr">
        <is>
          <t>Story</t>
        </is>
      </c>
      <c r="B52" t="inlineStr">
        <is>
          <t>SSF-167</t>
        </is>
      </c>
      <c r="D52" t="inlineStr">
        <is>
          <t>[MOB] Initialization of internationalization</t>
        </is>
      </c>
      <c r="E52" t="inlineStr">
        <is>
          <t>Done</t>
        </is>
      </c>
      <c r="F52" t="inlineStr">
        <is>
          <t>Language Management</t>
        </is>
      </c>
      <c r="G52" t="n">
        <v>3</v>
      </c>
      <c r="H52" t="inlineStr">
        <is>
          <t>Mobile, SSF_MOBILE_APP, SSF_PI#01</t>
        </is>
      </c>
      <c r="I52" t="inlineStr">
        <is>
          <t>SSF - 01</t>
        </is>
      </c>
      <c r="J52" t="inlineStr">
        <is>
          <t>SSF_PI#01</t>
        </is>
      </c>
    </row>
    <row r="53" ht="15.75" customHeight="1" s="39">
      <c r="A53" t="inlineStr">
        <is>
          <t>Story</t>
        </is>
      </c>
      <c r="B53" t="inlineStr">
        <is>
          <t>SSF-185</t>
        </is>
      </c>
      <c r="D53" t="inlineStr">
        <is>
          <t>[MOB] Handle Multiple devices login</t>
        </is>
      </c>
      <c r="E53" t="inlineStr">
        <is>
          <t>Open</t>
        </is>
      </c>
      <c r="F53" t="inlineStr">
        <is>
          <t>Login</t>
        </is>
      </c>
      <c r="G53" t="n">
        <v>2</v>
      </c>
      <c r="H53" t="inlineStr">
        <is>
          <t>Mobile, SSF_MOBILE_APP</t>
        </is>
      </c>
      <c r="I53" t="inlineStr">
        <is>
          <t>PI 01 - EXTRA</t>
        </is>
      </c>
    </row>
    <row r="54" ht="15.75" customHeight="1" s="39">
      <c r="A54" t="inlineStr">
        <is>
          <t>Story</t>
        </is>
      </c>
      <c r="B54" t="inlineStr">
        <is>
          <t>SSF-181</t>
        </is>
      </c>
      <c r="D54" t="inlineStr">
        <is>
          <t>{NEEDS DISCUSSION} [MOB] Retrieve user data from Identity Provider</t>
        </is>
      </c>
      <c r="E54" t="inlineStr">
        <is>
          <t>Open</t>
        </is>
      </c>
      <c r="F54" t="inlineStr">
        <is>
          <t>Login</t>
        </is>
      </c>
      <c r="G54" t="n">
        <v>3</v>
      </c>
      <c r="H54" t="inlineStr">
        <is>
          <t>SSF_MOBILE_APP</t>
        </is>
      </c>
      <c r="I54" t="inlineStr">
        <is>
          <t>PI 01 - EXTRA</t>
        </is>
      </c>
    </row>
    <row r="55" ht="15.75" customHeight="1" s="39">
      <c r="A55" t="inlineStr">
        <is>
          <t>Story</t>
        </is>
      </c>
      <c r="B55" t="inlineStr">
        <is>
          <t>SSF-178</t>
        </is>
      </c>
      <c r="D55" t="inlineStr">
        <is>
          <t>[MOB] Logout</t>
        </is>
      </c>
      <c r="E55" t="inlineStr">
        <is>
          <t>Open</t>
        </is>
      </c>
      <c r="F55" t="inlineStr">
        <is>
          <t>Login</t>
        </is>
      </c>
      <c r="G55" t="n">
        <v>5</v>
      </c>
      <c r="H55" t="inlineStr">
        <is>
          <t>Mobile, SSF_MOBILE_APP</t>
        </is>
      </c>
      <c r="I55" t="inlineStr">
        <is>
          <t>PI 01 - EXTRA</t>
        </is>
      </c>
    </row>
    <row r="56" ht="15.75" customHeight="1" s="39">
      <c r="A56" t="inlineStr">
        <is>
          <t>Story</t>
        </is>
      </c>
      <c r="B56" t="inlineStr">
        <is>
          <t>SSF-177</t>
        </is>
      </c>
      <c r="D56" t="inlineStr">
        <is>
          <t>[MOB] Handle multi accounts login (case of ongoing tracking session)</t>
        </is>
      </c>
      <c r="E56" t="inlineStr">
        <is>
          <t>Open</t>
        </is>
      </c>
      <c r="F56" t="inlineStr">
        <is>
          <t>Login</t>
        </is>
      </c>
      <c r="G56" t="n">
        <v>5</v>
      </c>
      <c r="H56" t="inlineStr">
        <is>
          <t>Mobile, SSF_MOBILE_APP</t>
        </is>
      </c>
      <c r="I56" t="inlineStr">
        <is>
          <t>PI 01 - EXTRA</t>
        </is>
      </c>
    </row>
    <row r="57" ht="15.75" customHeight="1" s="39">
      <c r="A57" t="inlineStr">
        <is>
          <t>Story</t>
        </is>
      </c>
      <c r="B57" t="inlineStr">
        <is>
          <t>SSF-203</t>
        </is>
      </c>
      <c r="D57" t="inlineStr">
        <is>
          <t>[MOB] Implement Refresh Session</t>
        </is>
      </c>
      <c r="E57" t="inlineStr">
        <is>
          <t>Open</t>
        </is>
      </c>
      <c r="F57" t="inlineStr">
        <is>
          <t>Login</t>
        </is>
      </c>
      <c r="G57" t="n">
        <v>2</v>
      </c>
      <c r="H57" t="inlineStr">
        <is>
          <t>Mobile, SSF_MOBILE_APP, SSF_PI#01</t>
        </is>
      </c>
      <c r="I57" t="inlineStr">
        <is>
          <t>SSF - 01</t>
        </is>
      </c>
      <c r="J57" t="inlineStr">
        <is>
          <t>SSF_PI#01</t>
        </is>
      </c>
    </row>
    <row r="58" ht="15.75" customHeight="1" s="39">
      <c r="A58" t="inlineStr">
        <is>
          <t>Story</t>
        </is>
      </c>
      <c r="B58" t="inlineStr">
        <is>
          <t>SSF-202</t>
        </is>
      </c>
      <c r="D58" t="inlineStr">
        <is>
          <t>[MOB] Vessel selection screen Errors Management</t>
        </is>
      </c>
      <c r="E58" t="inlineStr">
        <is>
          <t>Open</t>
        </is>
      </c>
      <c r="F58" t="inlineStr">
        <is>
          <t>Login</t>
        </is>
      </c>
      <c r="G58" t="n">
        <v>3</v>
      </c>
      <c r="H58" t="inlineStr">
        <is>
          <t>Mobile, SSF_MOBILE_APP, SSF_PI#01</t>
        </is>
      </c>
      <c r="I58" t="inlineStr">
        <is>
          <t>SSF - 01</t>
        </is>
      </c>
      <c r="J58" t="inlineStr">
        <is>
          <t>SSF_PI#01</t>
        </is>
      </c>
    </row>
    <row r="59" ht="15.75" customHeight="1" s="39">
      <c r="A59" t="inlineStr">
        <is>
          <t>Story</t>
        </is>
      </c>
      <c r="B59" t="inlineStr">
        <is>
          <t>SSF-120</t>
        </is>
      </c>
      <c r="D59" t="inlineStr">
        <is>
          <t>[BACK] Endpoint GET vessels for the user</t>
        </is>
      </c>
      <c r="E59" t="inlineStr">
        <is>
          <t>Ready</t>
        </is>
      </c>
      <c r="F59" t="inlineStr">
        <is>
          <t>Login</t>
        </is>
      </c>
      <c r="G59" t="n">
        <v>5</v>
      </c>
      <c r="H59" t="inlineStr">
        <is>
          <t>SSF_MOBILE_APP, SSF_PI#01, backend</t>
        </is>
      </c>
      <c r="I59" t="inlineStr">
        <is>
          <t>SSF - 01</t>
        </is>
      </c>
      <c r="J59" t="inlineStr">
        <is>
          <t>SSF_PI#01</t>
        </is>
      </c>
    </row>
    <row r="60" ht="15.75" customHeight="1" s="39">
      <c r="A60" t="inlineStr">
        <is>
          <t>Story</t>
        </is>
      </c>
      <c r="B60" t="inlineStr">
        <is>
          <t>SSF-118</t>
        </is>
      </c>
      <c r="D60" t="inlineStr">
        <is>
          <t>[MOB] Vessel selection screen (Mocked)</t>
        </is>
      </c>
      <c r="E60" t="inlineStr">
        <is>
          <t>Done</t>
        </is>
      </c>
      <c r="F60" t="inlineStr">
        <is>
          <t>Login</t>
        </is>
      </c>
      <c r="G60" t="n">
        <v>3</v>
      </c>
      <c r="H60" t="inlineStr">
        <is>
          <t>Mobile, SSF_MOBILE_APP, SSF_PI#01</t>
        </is>
      </c>
      <c r="I60" t="inlineStr">
        <is>
          <t>SSF - 01</t>
        </is>
      </c>
      <c r="J60" t="inlineStr">
        <is>
          <t>SSF_PI#01</t>
        </is>
      </c>
    </row>
    <row r="61" ht="15.75" customHeight="1" s="39">
      <c r="A61" t="inlineStr">
        <is>
          <t>Story</t>
        </is>
      </c>
      <c r="B61" t="inlineStr">
        <is>
          <t>SSF-116</t>
        </is>
      </c>
      <c r="D61" t="inlineStr">
        <is>
          <t>[MOB] Implement OIDC Flow (with DPoP)</t>
        </is>
      </c>
      <c r="E61" t="inlineStr">
        <is>
          <t>In review</t>
        </is>
      </c>
      <c r="F61" t="inlineStr">
        <is>
          <t>Login</t>
        </is>
      </c>
      <c r="G61" t="n">
        <v>2</v>
      </c>
      <c r="H61" t="inlineStr">
        <is>
          <t>Mobile, SSF_MOBILE_APP, SSF_PI#01</t>
        </is>
      </c>
      <c r="I61" t="inlineStr">
        <is>
          <t>SSF - 01</t>
        </is>
      </c>
      <c r="J61" t="inlineStr">
        <is>
          <t>SSF_PI#01</t>
        </is>
      </c>
    </row>
    <row r="62" ht="15.75" customHeight="1" s="39">
      <c r="A62" t="inlineStr">
        <is>
          <t>Story</t>
        </is>
      </c>
      <c r="B62" t="inlineStr">
        <is>
          <t>SSF-115</t>
        </is>
      </c>
      <c r="D62" t="inlineStr">
        <is>
          <t>[MOB] Landing Page with Login button</t>
        </is>
      </c>
      <c r="E62" t="inlineStr">
        <is>
          <t>Done</t>
        </is>
      </c>
      <c r="F62" t="inlineStr">
        <is>
          <t>Login</t>
        </is>
      </c>
      <c r="G62" t="n">
        <v>1</v>
      </c>
      <c r="H62" t="inlineStr">
        <is>
          <t>Mobile, SSF_MOBILE_APP, SSF_PI#01</t>
        </is>
      </c>
      <c r="I62" t="inlineStr">
        <is>
          <t>SSF - 01</t>
        </is>
      </c>
      <c r="J62" t="inlineStr">
        <is>
          <t>SSF_PI#01</t>
        </is>
      </c>
    </row>
    <row r="63" ht="15.75" customHeight="1" s="39">
      <c r="A63" t="inlineStr">
        <is>
          <t>Story</t>
        </is>
      </c>
      <c r="B63" t="inlineStr">
        <is>
          <t>SSF-174</t>
        </is>
      </c>
      <c r="D63" t="inlineStr">
        <is>
          <t>[MOB] Get Vessels from App Server</t>
        </is>
      </c>
      <c r="E63" t="inlineStr">
        <is>
          <t>Ready</t>
        </is>
      </c>
      <c r="F63" t="inlineStr">
        <is>
          <t>Login</t>
        </is>
      </c>
      <c r="G63" t="n">
        <v>3</v>
      </c>
      <c r="H63" t="inlineStr">
        <is>
          <t>Mobile, SSF_MOBILE_APP, SSF_PI#01</t>
        </is>
      </c>
      <c r="I63" t="inlineStr">
        <is>
          <t>SSF - 02</t>
        </is>
      </c>
      <c r="J63" t="inlineStr">
        <is>
          <t>SSF_PI#01</t>
        </is>
      </c>
    </row>
    <row r="64" ht="15.75" customHeight="1" s="39">
      <c r="A64" t="inlineStr">
        <is>
          <t>Story</t>
        </is>
      </c>
      <c r="B64" t="inlineStr">
        <is>
          <t>SSF-119</t>
        </is>
      </c>
      <c r="D64" t="inlineStr">
        <is>
          <t>[BACK] Validate requests from client</t>
        </is>
      </c>
      <c r="E64" t="inlineStr">
        <is>
          <t>Ready</t>
        </is>
      </c>
      <c r="F64" t="inlineStr">
        <is>
          <t>Login</t>
        </is>
      </c>
      <c r="G64" t="n">
        <v>3</v>
      </c>
      <c r="H64" t="inlineStr">
        <is>
          <t>SSF_MOBILE_APP, SSF_PI#01, backend</t>
        </is>
      </c>
      <c r="I64" t="inlineStr">
        <is>
          <t>SSF - 02</t>
        </is>
      </c>
      <c r="J64" t="inlineStr">
        <is>
          <t>SSF_PI#01</t>
        </is>
      </c>
    </row>
    <row r="65" ht="15.75" customHeight="1" s="39">
      <c r="A65" t="inlineStr">
        <is>
          <t>Story</t>
        </is>
      </c>
      <c r="B65" t="inlineStr">
        <is>
          <t>SSF-117</t>
        </is>
      </c>
      <c r="D65" t="inlineStr">
        <is>
          <t>[MOB] Auto login routing</t>
        </is>
      </c>
      <c r="E65" t="inlineStr">
        <is>
          <t>Ready</t>
        </is>
      </c>
      <c r="F65" t="inlineStr">
        <is>
          <t>Login</t>
        </is>
      </c>
      <c r="G65" t="n">
        <v>2</v>
      </c>
      <c r="H65" t="inlineStr">
        <is>
          <t>Mobile, SSF_MOBILE_APP, SSF_PI#01</t>
        </is>
      </c>
      <c r="I65" t="inlineStr">
        <is>
          <t>SSF - 02</t>
        </is>
      </c>
      <c r="J65" t="inlineStr">
        <is>
          <t>SSF_PI#01</t>
        </is>
      </c>
    </row>
    <row r="66" ht="15.75" customHeight="1" s="39">
      <c r="A66" t="inlineStr">
        <is>
          <t>Story</t>
        </is>
      </c>
      <c r="B66" t="inlineStr">
        <is>
          <t>SSF-176</t>
        </is>
      </c>
      <c r="D66" t="inlineStr">
        <is>
          <t>[MOB] Login Routing - No vessel edge case</t>
        </is>
      </c>
      <c r="E66" t="inlineStr">
        <is>
          <t>Ready</t>
        </is>
      </c>
      <c r="F66" t="inlineStr">
        <is>
          <t>Login</t>
        </is>
      </c>
      <c r="G66" t="n">
        <v>3</v>
      </c>
      <c r="H66" t="inlineStr">
        <is>
          <t>Mobile, SSF_MOBILE_APP, SSF_PI#01</t>
        </is>
      </c>
      <c r="I66" t="inlineStr">
        <is>
          <t>SSF - PI 01</t>
        </is>
      </c>
      <c r="J66" t="inlineStr">
        <is>
          <t>SSF_PI#01</t>
        </is>
      </c>
    </row>
    <row r="67" ht="15.75" customHeight="1" s="39">
      <c r="A67" t="inlineStr">
        <is>
          <t>Story</t>
        </is>
      </c>
      <c r="B67" t="inlineStr">
        <is>
          <t>SSF-187</t>
        </is>
      </c>
      <c r="D67" t="inlineStr">
        <is>
          <t>[BACK] Audit logs generation and storage</t>
        </is>
      </c>
      <c r="E67" t="inlineStr">
        <is>
          <t>Open</t>
        </is>
      </c>
      <c r="F67" t="inlineStr">
        <is>
          <t>Logs</t>
        </is>
      </c>
      <c r="G67" t="n">
        <v>5</v>
      </c>
      <c r="H67" t="inlineStr">
        <is>
          <t>Backend, SSF_MOBILE_APP, SSF_PI#02</t>
        </is>
      </c>
      <c r="I67" t="inlineStr">
        <is>
          <t>SSF - PI 02</t>
        </is>
      </c>
      <c r="J67" t="inlineStr">
        <is>
          <t>SSF_PI#02</t>
        </is>
      </c>
    </row>
    <row r="68" ht="15.75" customHeight="1" s="39">
      <c r="A68" t="inlineStr">
        <is>
          <t>Story</t>
        </is>
      </c>
      <c r="B68" t="inlineStr">
        <is>
          <t>SSF-186</t>
        </is>
      </c>
      <c r="D68" t="inlineStr">
        <is>
          <t>[BACK] Backend's status Endpoint</t>
        </is>
      </c>
      <c r="E68" t="inlineStr">
        <is>
          <t>Open</t>
        </is>
      </c>
      <c r="F68" t="inlineStr">
        <is>
          <t>Logs</t>
        </is>
      </c>
      <c r="G68" t="n">
        <v>3</v>
      </c>
      <c r="H68" t="inlineStr">
        <is>
          <t>Backend, SSF_MOBILE_APP, SSF_PI#02</t>
        </is>
      </c>
      <c r="I68" t="inlineStr">
        <is>
          <t>SSF - PI 02</t>
        </is>
      </c>
      <c r="J68" t="inlineStr">
        <is>
          <t>SSF_PI#02</t>
        </is>
      </c>
    </row>
    <row r="69" ht="15.75" customHeight="1" s="39">
      <c r="A69" t="inlineStr">
        <is>
          <t>Story</t>
        </is>
      </c>
      <c r="B69" t="inlineStr">
        <is>
          <t>SSF-139</t>
        </is>
      </c>
      <c r="D69" t="inlineStr">
        <is>
          <t>[MOB] Display other POI on the map</t>
        </is>
      </c>
      <c r="E69" t="inlineStr">
        <is>
          <t>Open</t>
        </is>
      </c>
      <c r="F69" t="inlineStr">
        <is>
          <t>Map Integrations</t>
        </is>
      </c>
      <c r="G69" t="n">
        <v>3</v>
      </c>
      <c r="H69" t="inlineStr">
        <is>
          <t>Mobile, SSF_MOBILE_APP</t>
        </is>
      </c>
      <c r="I69" t="inlineStr">
        <is>
          <t>PI 01 - To be challenged</t>
        </is>
      </c>
    </row>
    <row r="70" ht="15.75" customHeight="1" s="39">
      <c r="A70" t="inlineStr">
        <is>
          <t>Story</t>
        </is>
      </c>
      <c r="B70" t="inlineStr">
        <is>
          <t>SSF-138</t>
        </is>
      </c>
      <c r="D70" t="inlineStr">
        <is>
          <t>[MOB] Display Hauls on the map</t>
        </is>
      </c>
      <c r="E70" t="inlineStr">
        <is>
          <t>Open</t>
        </is>
      </c>
      <c r="F70" t="inlineStr">
        <is>
          <t>Map Integrations</t>
        </is>
      </c>
      <c r="G70" t="n">
        <v>3</v>
      </c>
      <c r="H70" t="inlineStr">
        <is>
          <t>Mobile, SSF_MOBILE_APP</t>
        </is>
      </c>
      <c r="I70" t="inlineStr">
        <is>
          <t>PI 01 - To be challenged</t>
        </is>
      </c>
    </row>
    <row r="71" ht="15.75" customHeight="1" s="39">
      <c r="A71" t="inlineStr">
        <is>
          <t>Story</t>
        </is>
      </c>
      <c r="B71" t="inlineStr">
        <is>
          <t>SSF-137</t>
        </is>
      </c>
      <c r="D71" t="inlineStr">
        <is>
          <t>{READY} [BACK] Map Tiles - Server/Cache/CDN</t>
        </is>
      </c>
      <c r="E71" t="inlineStr">
        <is>
          <t>Open</t>
        </is>
      </c>
      <c r="F71" t="inlineStr">
        <is>
          <t>Map Integrations</t>
        </is>
      </c>
      <c r="G71" t="n">
        <v>8</v>
      </c>
      <c r="H71" t="inlineStr">
        <is>
          <t>SSF_MOBILE_APP, backend</t>
        </is>
      </c>
      <c r="I71" t="inlineStr">
        <is>
          <t>PI 01 - To be challenged</t>
        </is>
      </c>
    </row>
    <row r="72" ht="15.75" customHeight="1" s="39">
      <c r="A72" t="inlineStr">
        <is>
          <t>Story</t>
        </is>
      </c>
      <c r="B72" t="inlineStr">
        <is>
          <t>SSF-136</t>
        </is>
      </c>
      <c r="D72" t="inlineStr">
        <is>
          <t>{READY} [MOB] Map Screen - Offline Mode</t>
        </is>
      </c>
      <c r="E72" t="inlineStr">
        <is>
          <t>Open</t>
        </is>
      </c>
      <c r="F72" t="inlineStr">
        <is>
          <t>Map Integrations</t>
        </is>
      </c>
      <c r="G72" t="n">
        <v>8</v>
      </c>
      <c r="H72" t="inlineStr">
        <is>
          <t>Mobile, SSF_MOBILE_APP</t>
        </is>
      </c>
      <c r="I72" t="inlineStr">
        <is>
          <t>PI 01 - To be challenged</t>
        </is>
      </c>
    </row>
    <row r="73" hidden="1" ht="15.75" customHeight="1" s="39">
      <c r="A73" t="inlineStr">
        <is>
          <t>Story</t>
        </is>
      </c>
      <c r="B73" t="inlineStr">
        <is>
          <t>SSF-135</t>
        </is>
      </c>
      <c r="D73" t="inlineStr">
        <is>
          <t>{NEEDS DISCUSSION} [MOB] Map Screen - Display Open Sea Map Data</t>
        </is>
      </c>
      <c r="E73" t="inlineStr">
        <is>
          <t>Open</t>
        </is>
      </c>
      <c r="F73" t="inlineStr">
        <is>
          <t>Map Integrations</t>
        </is>
      </c>
      <c r="G73" t="n">
        <v>3</v>
      </c>
      <c r="H73" t="inlineStr">
        <is>
          <t>Mobile, SSF_MOBILE_APP</t>
        </is>
      </c>
      <c r="I73" t="inlineStr">
        <is>
          <t>PI 01 - To be challenged</t>
        </is>
      </c>
    </row>
    <row r="74" hidden="1" ht="15.75" customHeight="1" s="39">
      <c r="A74" t="inlineStr">
        <is>
          <t>Story</t>
        </is>
      </c>
      <c r="B74" t="inlineStr">
        <is>
          <t>SSF-134</t>
        </is>
      </c>
      <c r="D74" t="inlineStr">
        <is>
          <t>[MOB] Map Screen - Display Vessel's Current trajectory</t>
        </is>
      </c>
      <c r="E74" t="inlineStr">
        <is>
          <t>Ready</t>
        </is>
      </c>
      <c r="F74" t="inlineStr">
        <is>
          <t>Map Integrations</t>
        </is>
      </c>
      <c r="G74" t="n">
        <v>3</v>
      </c>
      <c r="H74" t="inlineStr">
        <is>
          <t>Mobile, SSF_MOBILE_APP, SSF_PI#01</t>
        </is>
      </c>
      <c r="I74" t="inlineStr">
        <is>
          <t>SSF - PI 01</t>
        </is>
      </c>
      <c r="J74" t="inlineStr">
        <is>
          <t>SSF_PI#01</t>
        </is>
      </c>
    </row>
    <row r="75" hidden="1" ht="15.75" customHeight="1" s="39">
      <c r="A75" t="inlineStr">
        <is>
          <t>Story</t>
        </is>
      </c>
      <c r="B75" t="inlineStr">
        <is>
          <t>SSF-133</t>
        </is>
      </c>
      <c r="D75" t="inlineStr">
        <is>
          <t>[MOB] Map Widget Initialization + Current position Display</t>
        </is>
      </c>
      <c r="E75" t="inlineStr">
        <is>
          <t>Ready</t>
        </is>
      </c>
      <c r="F75" t="inlineStr">
        <is>
          <t>Map Integrations</t>
        </is>
      </c>
      <c r="G75" t="n">
        <v>3</v>
      </c>
      <c r="H75" t="inlineStr">
        <is>
          <t>Mobile, SSF_MOBILE_APP, SSF_PI#01</t>
        </is>
      </c>
      <c r="I75" t="inlineStr">
        <is>
          <t>SSF - PI 01</t>
        </is>
      </c>
      <c r="J75" t="inlineStr">
        <is>
          <t>SSF_PI#01</t>
        </is>
      </c>
    </row>
    <row r="76" hidden="1" ht="15.75" customHeight="1" s="39">
      <c r="A76" t="inlineStr">
        <is>
          <t>Story</t>
        </is>
      </c>
      <c r="B76" t="inlineStr">
        <is>
          <t>SSF-200</t>
        </is>
      </c>
      <c r="D76" t="inlineStr">
        <is>
          <t>[MOB] Tech : Ajouter Crashlytics</t>
        </is>
      </c>
      <c r="E76" t="inlineStr">
        <is>
          <t>Open</t>
        </is>
      </c>
      <c r="F76" t="inlineStr">
        <is>
          <t>TECH REQUIREMENTS</t>
        </is>
      </c>
      <c r="G76" t="n">
        <v>1</v>
      </c>
      <c r="H76" t="inlineStr">
        <is>
          <t>SSF_MOBILE_APP, SSF_PI#01</t>
        </is>
      </c>
      <c r="I76" t="inlineStr">
        <is>
          <t>PI 01 - To be challenged</t>
        </is>
      </c>
      <c r="J76" t="inlineStr">
        <is>
          <t>SSF_PI#01</t>
        </is>
      </c>
    </row>
    <row r="77" hidden="1" ht="15.75" customHeight="1" s="39">
      <c r="A77" t="inlineStr">
        <is>
          <t>Story</t>
        </is>
      </c>
      <c r="B77" t="inlineStr">
        <is>
          <t>SSF-201</t>
        </is>
      </c>
      <c r="D77" t="inlineStr">
        <is>
          <t>[MOB] Créer un keystore pour signer l'application Android</t>
        </is>
      </c>
      <c r="E77" t="inlineStr">
        <is>
          <t>To Deploy</t>
        </is>
      </c>
      <c r="F77" t="inlineStr">
        <is>
          <t>TECH REQUIREMENTS</t>
        </is>
      </c>
      <c r="G77" t="n">
        <v>1</v>
      </c>
      <c r="H77" t="inlineStr">
        <is>
          <t>SSF_MOBILE_APP, SSF_PI#01</t>
        </is>
      </c>
      <c r="I77" t="inlineStr">
        <is>
          <t>SSF - 01</t>
        </is>
      </c>
      <c r="J77" t="inlineStr">
        <is>
          <t>SSF_PI#01</t>
        </is>
      </c>
    </row>
    <row r="78" hidden="1" ht="15.75" customHeight="1" s="39">
      <c r="A78" t="inlineStr">
        <is>
          <t>Story</t>
        </is>
      </c>
      <c r="B78" t="inlineStr">
        <is>
          <t>SSF-199</t>
        </is>
      </c>
      <c r="D78" t="inlineStr">
        <is>
          <t>[MOB] Testers information / Setup</t>
        </is>
      </c>
      <c r="E78" t="inlineStr">
        <is>
          <t>To Deploy</t>
        </is>
      </c>
      <c r="F78" t="inlineStr">
        <is>
          <t>TECH REQUIREMENTS</t>
        </is>
      </c>
      <c r="H78" t="inlineStr">
        <is>
          <t>SSF_MOBILE_APP, SSF_PI#01</t>
        </is>
      </c>
      <c r="I78" t="inlineStr">
        <is>
          <t>SSF - 01</t>
        </is>
      </c>
      <c r="J78" t="inlineStr">
        <is>
          <t>SSF_PI#01</t>
        </is>
      </c>
    </row>
    <row r="79" hidden="1" ht="15.75" customHeight="1" s="39">
      <c r="A79" t="inlineStr">
        <is>
          <t>Story</t>
        </is>
      </c>
      <c r="B79" t="inlineStr">
        <is>
          <t>SSF-112</t>
        </is>
      </c>
      <c r="D79" t="inlineStr">
        <is>
          <t>[DG MARE] Firebase Project Setup</t>
        </is>
      </c>
      <c r="E79" t="inlineStr">
        <is>
          <t>Done</t>
        </is>
      </c>
      <c r="F79" t="inlineStr">
        <is>
          <t>TECH REQUIREMENTS</t>
        </is>
      </c>
      <c r="G79" t="n">
        <v>1</v>
      </c>
      <c r="H79" t="inlineStr">
        <is>
          <t>DG_MARE_ACTION, SSF_MOBILE_APP, SSF_PI#01</t>
        </is>
      </c>
      <c r="I79" t="inlineStr">
        <is>
          <t>SSF - 01</t>
        </is>
      </c>
      <c r="J79" t="inlineStr">
        <is>
          <t>SSF_PI#01</t>
        </is>
      </c>
    </row>
    <row r="80" hidden="1" ht="15.75" customHeight="1" s="39">
      <c r="A80" t="inlineStr">
        <is>
          <t>Story</t>
        </is>
      </c>
      <c r="B80" t="inlineStr">
        <is>
          <t>SSF-111</t>
        </is>
      </c>
      <c r="D80" t="inlineStr">
        <is>
          <t>[DG MARE] AWS access</t>
        </is>
      </c>
      <c r="E80" t="inlineStr">
        <is>
          <t>Done</t>
        </is>
      </c>
      <c r="F80" t="inlineStr">
        <is>
          <t>TECH REQUIREMENTS</t>
        </is>
      </c>
      <c r="G80" t="n">
        <v>1</v>
      </c>
      <c r="H80" t="inlineStr">
        <is>
          <t>DG_MARE_ACTION, SSF_MOBILE_APP, SSF_PI#01</t>
        </is>
      </c>
      <c r="I80" t="inlineStr">
        <is>
          <t>SSF - 01</t>
        </is>
      </c>
      <c r="J80" t="inlineStr">
        <is>
          <t>SSF_PI#01</t>
        </is>
      </c>
    </row>
    <row r="81" hidden="1" ht="15.75" customHeight="1" s="39">
      <c r="A81" t="inlineStr">
        <is>
          <t>Story</t>
        </is>
      </c>
      <c r="B81" t="inlineStr">
        <is>
          <t>SSF-110</t>
        </is>
      </c>
      <c r="D81" t="inlineStr">
        <is>
          <t>[DG MARE] Gitlab Server</t>
        </is>
      </c>
      <c r="E81" t="inlineStr">
        <is>
          <t>Done</t>
        </is>
      </c>
      <c r="F81" t="inlineStr">
        <is>
          <t>TECH REQUIREMENTS</t>
        </is>
      </c>
      <c r="G81" t="n">
        <v>1</v>
      </c>
      <c r="H81" t="inlineStr">
        <is>
          <t>DG_MARE_ACTION, SSF_MOBILE_APP, SSF_PI#01</t>
        </is>
      </c>
      <c r="I81" t="inlineStr">
        <is>
          <t>SSF - 01</t>
        </is>
      </c>
      <c r="J81" t="inlineStr">
        <is>
          <t>SSF_PI#01</t>
        </is>
      </c>
    </row>
    <row r="82" hidden="1" ht="15.75" customHeight="1" s="39">
      <c r="A82" t="inlineStr">
        <is>
          <t>Story</t>
        </is>
      </c>
      <c r="B82" t="inlineStr">
        <is>
          <t>SSF-109</t>
        </is>
      </c>
      <c r="D82" t="inlineStr">
        <is>
          <t>[BACK] App Server architecture</t>
        </is>
      </c>
      <c r="E82" t="inlineStr">
        <is>
          <t>Ready</t>
        </is>
      </c>
      <c r="F82" t="inlineStr">
        <is>
          <t>TECH REQUIREMENTS</t>
        </is>
      </c>
      <c r="G82" t="n">
        <v>4</v>
      </c>
      <c r="H82" t="inlineStr">
        <is>
          <t>SSF_MOBILE_APP, SSF_PI#01, backend</t>
        </is>
      </c>
      <c r="I82" t="inlineStr">
        <is>
          <t>SSF - 01</t>
        </is>
      </c>
      <c r="J82" t="inlineStr">
        <is>
          <t>SSF_PI#01</t>
        </is>
      </c>
    </row>
    <row r="83" hidden="1" ht="15.75" customHeight="1" s="39">
      <c r="A83" t="inlineStr">
        <is>
          <t>Story</t>
        </is>
      </c>
      <c r="B83" t="inlineStr">
        <is>
          <t>SSF-108</t>
        </is>
      </c>
      <c r="D83" t="inlineStr">
        <is>
          <t>[BACK] Initiate App Server Codebase</t>
        </is>
      </c>
      <c r="E83" t="inlineStr">
        <is>
          <t>In Progress</t>
        </is>
      </c>
      <c r="F83" t="inlineStr">
        <is>
          <t>TECH REQUIREMENTS</t>
        </is>
      </c>
      <c r="G83" t="n">
        <v>3</v>
      </c>
      <c r="H83" t="inlineStr">
        <is>
          <t>SSF_MOBILE_APP, SSF_PI#01, backend</t>
        </is>
      </c>
      <c r="I83" t="inlineStr">
        <is>
          <t>SSF - 01</t>
        </is>
      </c>
      <c r="J83" t="inlineStr">
        <is>
          <t>SSF_PI#01</t>
        </is>
      </c>
    </row>
    <row r="84" hidden="1" ht="15.75" customHeight="1" s="39">
      <c r="A84" t="inlineStr">
        <is>
          <t>Story</t>
        </is>
      </c>
      <c r="B84" t="inlineStr">
        <is>
          <t>SSF-107</t>
        </is>
      </c>
      <c r="D84" t="inlineStr">
        <is>
          <t>[MOB] Initiate Mobile App Codebase</t>
        </is>
      </c>
      <c r="E84" t="inlineStr">
        <is>
          <t>Done</t>
        </is>
      </c>
      <c r="F84" t="inlineStr">
        <is>
          <t>TECH REQUIREMENTS</t>
        </is>
      </c>
      <c r="G84" t="n">
        <v>2</v>
      </c>
      <c r="H84" t="inlineStr">
        <is>
          <t>SSF_MOBILE_APP, SSF_PI#01, mobile</t>
        </is>
      </c>
      <c r="I84" t="inlineStr">
        <is>
          <t>SSF - 01</t>
        </is>
      </c>
      <c r="J84" t="inlineStr">
        <is>
          <t>SSF_PI#01</t>
        </is>
      </c>
    </row>
    <row r="85" hidden="1" ht="15.75" customHeight="1" s="39">
      <c r="A85" t="inlineStr">
        <is>
          <t>Story</t>
        </is>
      </c>
      <c r="B85" t="inlineStr">
        <is>
          <t>SSF-106</t>
        </is>
      </c>
      <c r="D85" t="inlineStr">
        <is>
          <t>[MOB] Initiate Firebase project with App distribution</t>
        </is>
      </c>
      <c r="E85" t="inlineStr">
        <is>
          <t>Done</t>
        </is>
      </c>
      <c r="F85" t="inlineStr">
        <is>
          <t>TECH REQUIREMENTS</t>
        </is>
      </c>
      <c r="G85" t="n">
        <v>2</v>
      </c>
      <c r="H85" t="inlineStr">
        <is>
          <t>SSF_MOBILE_APP, SSF_PI#01</t>
        </is>
      </c>
      <c r="I85" t="inlineStr">
        <is>
          <t>SSF - 01</t>
        </is>
      </c>
      <c r="J85" t="inlineStr">
        <is>
          <t>SSF_PI#01</t>
        </is>
      </c>
    </row>
    <row r="86" hidden="1" ht="15.75" customHeight="1" s="39">
      <c r="A86" t="inlineStr">
        <is>
          <t>Story</t>
        </is>
      </c>
      <c r="B86" t="inlineStr">
        <is>
          <t>SSF-85</t>
        </is>
      </c>
      <c r="D86" t="inlineStr">
        <is>
          <t>[MOB] Mobile App architecture</t>
        </is>
      </c>
      <c r="E86" t="inlineStr">
        <is>
          <t>Done</t>
        </is>
      </c>
      <c r="F86" t="inlineStr">
        <is>
          <t>TECH REQUIREMENTS</t>
        </is>
      </c>
      <c r="G86" t="n">
        <v>4</v>
      </c>
      <c r="H86" t="inlineStr">
        <is>
          <t>MOBILE, SSF_MOBILE_APP, SSF_PI#01</t>
        </is>
      </c>
      <c r="I86" t="inlineStr">
        <is>
          <t>SSF - 01</t>
        </is>
      </c>
      <c r="J86" t="inlineStr">
        <is>
          <t>SSF_PI#01</t>
        </is>
      </c>
    </row>
    <row r="87" hidden="1" ht="15.75" customHeight="1" s="39">
      <c r="A87" t="inlineStr">
        <is>
          <t>Story</t>
        </is>
      </c>
      <c r="B87" t="inlineStr">
        <is>
          <t>SSF-179</t>
        </is>
      </c>
      <c r="D87" t="inlineStr">
        <is>
          <t>{DEV READY} [BACK] Swagger setup</t>
        </is>
      </c>
      <c r="E87" t="inlineStr">
        <is>
          <t>Open</t>
        </is>
      </c>
      <c r="F87" t="inlineStr">
        <is>
          <t>TECH REQUIREMENTS</t>
        </is>
      </c>
      <c r="G87" t="n">
        <v>2</v>
      </c>
      <c r="H87" t="inlineStr">
        <is>
          <t>SSF_MOBILE_APP, SSF_PI#01, backend</t>
        </is>
      </c>
      <c r="I87" t="inlineStr">
        <is>
          <t>SSF - PI 01</t>
        </is>
      </c>
      <c r="J87" t="inlineStr">
        <is>
          <t>SSF_PI#01</t>
        </is>
      </c>
    </row>
    <row r="88" hidden="1" ht="15.75" customHeight="1" s="39">
      <c r="A88" t="inlineStr">
        <is>
          <t>Story</t>
        </is>
      </c>
      <c r="B88" t="inlineStr">
        <is>
          <t>SSF-113</t>
        </is>
      </c>
      <c r="D88" t="inlineStr">
        <is>
          <t>[DG MARE] Create Apple Developper Account</t>
        </is>
      </c>
      <c r="E88" t="inlineStr">
        <is>
          <t>Open</t>
        </is>
      </c>
      <c r="F88" t="inlineStr">
        <is>
          <t>TECH REQUIREMENTS</t>
        </is>
      </c>
      <c r="G88" t="n">
        <v>1</v>
      </c>
      <c r="H88" t="inlineStr">
        <is>
          <t>DG_MARE_ACTION, SSF_MOBILE_APP</t>
        </is>
      </c>
      <c r="I88" t="inlineStr">
        <is>
          <t>SSF - PI 01</t>
        </is>
      </c>
    </row>
    <row r="89" hidden="1" ht="15.75" customHeight="1" s="39">
      <c r="A89" t="inlineStr">
        <is>
          <t>Story</t>
        </is>
      </c>
      <c r="B89" t="inlineStr">
        <is>
          <t>SSF-158</t>
        </is>
      </c>
      <c r="D89" t="inlineStr">
        <is>
          <t>[MOB] Location services authorization request</t>
        </is>
      </c>
      <c r="E89" t="inlineStr">
        <is>
          <t>Ready</t>
        </is>
      </c>
      <c r="F89" t="inlineStr">
        <is>
          <t>Vessel Tracking</t>
        </is>
      </c>
      <c r="G89" t="n">
        <v>3</v>
      </c>
      <c r="H89" t="inlineStr">
        <is>
          <t>Mobile, SSF_MOBILE_APP, SSF_PI#01</t>
        </is>
      </c>
      <c r="I89" t="inlineStr">
        <is>
          <t>SSF - PI 01</t>
        </is>
      </c>
      <c r="J89" t="inlineStr">
        <is>
          <t>SSF_PI#01</t>
        </is>
      </c>
    </row>
    <row r="90" hidden="1" ht="15.75" customHeight="1" s="39">
      <c r="A90" t="inlineStr">
        <is>
          <t>Story</t>
        </is>
      </c>
      <c r="B90" t="inlineStr">
        <is>
          <t>SSF-90</t>
        </is>
      </c>
      <c r="D90" t="inlineStr">
        <is>
          <t>[MOB] Send tracking records</t>
        </is>
      </c>
      <c r="E90" t="inlineStr">
        <is>
          <t>Ready</t>
        </is>
      </c>
      <c r="F90" t="inlineStr">
        <is>
          <t>Vessel Tracking</t>
        </is>
      </c>
      <c r="G90" t="n">
        <v>2</v>
      </c>
      <c r="H90" t="inlineStr">
        <is>
          <t>Mobile, SSF_MOBILE_APP, SSF_PI#01</t>
        </is>
      </c>
      <c r="I90" t="inlineStr">
        <is>
          <t>SSF - PI 01</t>
        </is>
      </c>
      <c r="J90" t="inlineStr">
        <is>
          <t>SSF_PI#01</t>
        </is>
      </c>
    </row>
    <row r="91" hidden="1" ht="15.75" customHeight="1" s="39">
      <c r="A91" t="inlineStr">
        <is>
          <t>Story</t>
        </is>
      </c>
      <c r="B91" t="inlineStr">
        <is>
          <t>SSF-89</t>
        </is>
      </c>
      <c r="D91" t="inlineStr">
        <is>
          <t>[BACK] Receive Vessel tracking Data</t>
        </is>
      </c>
      <c r="E91" t="inlineStr">
        <is>
          <t>Ready</t>
        </is>
      </c>
      <c r="F91" t="inlineStr">
        <is>
          <t>Vessel Tracking</t>
        </is>
      </c>
      <c r="G91" t="n">
        <v>3</v>
      </c>
      <c r="H91" t="inlineStr">
        <is>
          <t>Backend, SSF_MOBILE_APP, SSF_PI#01</t>
        </is>
      </c>
      <c r="I91" t="inlineStr">
        <is>
          <t>SSF - PI 01</t>
        </is>
      </c>
      <c r="J91" t="inlineStr">
        <is>
          <t>SSF_PI#01</t>
        </is>
      </c>
    </row>
    <row r="92" hidden="1" ht="15.75" customHeight="1" s="39">
      <c r="A92" t="inlineStr">
        <is>
          <t>Story</t>
        </is>
      </c>
      <c r="B92" t="inlineStr">
        <is>
          <t>SSF-88</t>
        </is>
      </c>
      <c r="D92" t="inlineStr">
        <is>
          <t>[MOB] Tracking Records</t>
        </is>
      </c>
      <c r="E92" t="inlineStr">
        <is>
          <t>Ready</t>
        </is>
      </c>
      <c r="F92" t="inlineStr">
        <is>
          <t>Vessel Tracking</t>
        </is>
      </c>
      <c r="G92" t="n">
        <v>3</v>
      </c>
      <c r="H92" t="inlineStr">
        <is>
          <t>Mobile, SSF_MOBILE_APP, SSF_PI#01</t>
        </is>
      </c>
      <c r="I92" t="inlineStr">
        <is>
          <t>SSF - PI 01</t>
        </is>
      </c>
      <c r="J92" t="inlineStr">
        <is>
          <t>SSF_PI#01</t>
        </is>
      </c>
    </row>
    <row r="93" hidden="1" ht="15.75" customHeight="1" s="39">
      <c r="A93" t="inlineStr">
        <is>
          <t>Story</t>
        </is>
      </c>
      <c r="B93" t="inlineStr">
        <is>
          <t>SSF-87</t>
        </is>
      </c>
      <c r="D93" t="inlineStr">
        <is>
          <t>[MOB] Geolocation Widget</t>
        </is>
      </c>
      <c r="E93" t="inlineStr">
        <is>
          <t>Ready</t>
        </is>
      </c>
      <c r="F93" t="inlineStr">
        <is>
          <t>Vessel Tracking</t>
        </is>
      </c>
      <c r="G93" t="n">
        <v>2</v>
      </c>
      <c r="H93" t="inlineStr">
        <is>
          <t>Mobile, SSF_MOBILE_APP, SSF_PI#01</t>
        </is>
      </c>
      <c r="I93" t="inlineStr">
        <is>
          <t>SSF - PI 01</t>
        </is>
      </c>
      <c r="J93" t="inlineStr">
        <is>
          <t>SSF_PI#01</t>
        </is>
      </c>
    </row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A3:Z93">
    <filterColumn colId="4" hiddenButton="0" showButton="1">
      <filters>
        <filter val="Open"/>
      </filters>
    </filterColumn>
    <sortState ref="A3:Z93">
      <sortCondition ref="E3:E93"/>
      <sortCondition descending="1" ref="F3:F93"/>
    </sortState>
  </autoFilter>
  <mergeCells count="1">
    <mergeCell ref="A1:G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topLeftCell="A18" workbookViewId="0">
      <selection activeCell="B20" sqref="B20:H25"/>
    </sheetView>
  </sheetViews>
  <sheetFormatPr baseColWidth="8" defaultColWidth="14.42578125" defaultRowHeight="15" customHeight="1"/>
  <cols>
    <col width="30.140625" customWidth="1" style="39" min="1" max="1"/>
    <col width="12" customWidth="1" style="39" min="2" max="2"/>
    <col width="13.140625" customWidth="1" style="39" min="3" max="3"/>
    <col width="26.5703125" bestFit="1" customWidth="1" style="39" min="4" max="4"/>
    <col width="22.28515625" customWidth="1" style="39" min="5" max="5"/>
    <col width="20" customWidth="1" style="39" min="6" max="7"/>
    <col width="12" customWidth="1" style="39" min="8" max="8"/>
    <col width="8.7109375" customWidth="1" style="39" min="9" max="27"/>
  </cols>
  <sheetData>
    <row r="1">
      <c r="A1" s="31" t="inlineStr">
        <is>
          <t>REFINEMENT TRACKER - DASHBOARD</t>
        </is>
      </c>
    </row>
    <row r="2">
      <c r="A2" s="38" t="inlineStr">
        <is>
          <t>Last Updated</t>
        </is>
      </c>
      <c r="B2" s="5">
        <f>TODAY()</f>
        <v/>
      </c>
      <c r="C2" s="38" t="inlineStr">
        <is>
          <t>Current Sprint</t>
        </is>
      </c>
      <c r="D2" s="38" t="n">
        <v>1</v>
      </c>
      <c r="E2" s="38" t="n"/>
    </row>
    <row r="4">
      <c r="A4" s="38" t="inlineStr">
        <is>
          <t>QUICK METRICS</t>
        </is>
      </c>
    </row>
    <row r="6">
      <c r="A6" s="38" t="inlineStr">
        <is>
          <t>Total Stories Whole Backlog</t>
        </is>
      </c>
      <c r="C6" s="38">
        <f>COUNTA('JIRA DATA'!A:A)-2</f>
        <v/>
      </c>
      <c r="F6" s="38" t="inlineStr">
        <is>
          <t>Status</t>
        </is>
      </c>
      <c r="G6" s="38">
        <f>IF(G9="","-",IF(G9&gt;=6.5,"🟢 On Track",IF(G9&gt;=4,"🟡 At Risk","🔴 Critical")))</f>
        <v/>
      </c>
    </row>
    <row r="7">
      <c r="A7" s="6" t="inlineStr">
        <is>
          <t>To Refine (Open)</t>
        </is>
      </c>
      <c r="B7" s="6" t="n"/>
      <c r="C7" s="6">
        <f>COUNTIF('JIRA DATA'!E:E,"Open")</f>
        <v/>
      </c>
      <c r="F7" s="38" t="inlineStr">
        <is>
          <t>Risk Level</t>
        </is>
      </c>
      <c r="G7" s="38">
        <f>IF(C10&gt;60,"🔴 HIGH",IF(C10&gt;40,"🟡 MEDIUM","🟢 LOW"))</f>
        <v/>
      </c>
    </row>
    <row r="8">
      <c r="A8" s="38" t="inlineStr">
        <is>
          <t>Already Refined (Ready)</t>
        </is>
      </c>
      <c r="C8" s="38">
        <f>COUNTIF('JIRA DATA'!E:E,"Ready")</f>
        <v/>
      </c>
    </row>
    <row r="9">
      <c r="A9" s="38" t="inlineStr">
        <is>
          <t>Completed So Far</t>
        </is>
      </c>
      <c r="C9" s="38">
        <f>SUM('SESSION LOG'!F:F)</f>
        <v/>
      </c>
      <c r="F9" s="38" t="inlineStr">
        <is>
          <t>Current Velocity</t>
        </is>
      </c>
      <c r="G9" s="38">
        <f>IF(COUNTA('SESSION LOG'!F2:F16)=0,0,AVERAGE('SESSION LOG'!F2:F16))</f>
        <v/>
      </c>
    </row>
    <row r="10">
      <c r="A10" s="38" t="inlineStr">
        <is>
          <t>Remaining</t>
        </is>
      </c>
      <c r="C10" s="38">
        <f>IF(ISBLANK(C9),C7,C7-C9)</f>
        <v/>
      </c>
      <c r="F10" s="38" t="inlineStr">
        <is>
          <t>Target Velocity</t>
        </is>
      </c>
      <c r="G10" s="38" t="n">
        <v>6.5</v>
      </c>
    </row>
    <row r="11">
      <c r="A11" s="38" t="inlineStr">
        <is>
          <t>Progress %</t>
        </is>
      </c>
      <c r="C11" s="7">
        <f>IF(C9=0,0,C9/C7)</f>
        <v/>
      </c>
      <c r="F11" s="38" t="inlineStr">
        <is>
          <t>Projected Completion</t>
        </is>
      </c>
      <c r="G11" s="38">
        <f>IF(OR(G9=0,G9=""),"TBD","Sprint "&amp;ROUNDUP(C10/G9/3+1,0))</f>
        <v/>
      </c>
    </row>
    <row r="13">
      <c r="A13" s="42" t="inlineStr">
        <is>
          <t>SESSION SUMMARY (LAST 3)</t>
        </is>
      </c>
    </row>
    <row r="14">
      <c r="B14" s="31" t="inlineStr">
        <is>
          <t>Session</t>
        </is>
      </c>
      <c r="C14" s="31" t="inlineStr">
        <is>
          <t>Sprint</t>
        </is>
      </c>
      <c r="D14" s="31" t="inlineStr">
        <is>
          <t>Date</t>
        </is>
      </c>
      <c r="E14" s="31" t="n"/>
      <c r="F14" s="31" t="inlineStr">
        <is>
          <t>Stories Refined</t>
        </is>
      </c>
      <c r="G14" s="31" t="inlineStr">
        <is>
          <t>Cumulative</t>
        </is>
      </c>
      <c r="H14" s="31" t="inlineStr">
        <is>
          <t>Status</t>
        </is>
      </c>
    </row>
    <row r="15">
      <c r="B15" s="38">
        <f t="array" ref="B15">IF(COUNTA('SESSION LOG'!A:A)&lt;=1,"",INDEX('SESSION LOG'!A:A,COUNTA('SESSION LOG'!A:A)))</f>
        <v/>
      </c>
      <c r="C15" s="38">
        <f t="array" ref="C15">IF(COUNTA('SESSION LOG'!A:A)&lt;=1,"",INDEX('SESSION LOG'!B:B,COUNTA('SESSION LOG'!A:A)))</f>
        <v/>
      </c>
      <c r="D15" s="8">
        <f t="array" ref="D15">IF(COUNTA('SESSION LOG'!A:A)&lt;=1,"",INDEX('SESSION LOG'!C:C,COUNTA('SESSION LOG'!A:A)))</f>
        <v/>
      </c>
      <c r="E15" s="8" t="n"/>
      <c r="F15" s="38">
        <f t="array" ref="F15">IF(COUNTA('SESSION LOG'!A:A)&lt;=1,"",INDEX('SESSION LOG'!F:F,COUNTA('SESSION LOG'!A:A)))</f>
        <v/>
      </c>
      <c r="G15" s="38">
        <f t="array" ref="G15">IF(COUNTA('SESSION LOG'!A:A)&lt;=1,"",INDEX('SESSION LOG'!G:G,COUNTA('SESSION LOG'!A:A)))</f>
        <v/>
      </c>
      <c r="H15" s="38">
        <f t="array" ref="H15">IF(COUNTA('SESSION LOG'!A:A)&lt;=1,"",INDEX('SESSION LOG'!J:J,COUNTA('SESSION LOG'!A:A)))</f>
        <v/>
      </c>
    </row>
    <row r="16">
      <c r="B16" s="38">
        <f t="array" ref="B16">IF(COUNTA('SESSION LOG'!A:A)&lt;=2,"",INDEX('SESSION LOG'!A:A,COUNTA('SESSION LOG'!A:A)-1))</f>
        <v/>
      </c>
      <c r="C16" s="38">
        <f t="array" ref="C16">IF(COUNTA('SESSION LOG'!A:A)&lt;=2,"",INDEX('SESSION LOG'!B:B,COUNTA('SESSION LOG'!A:A)-1))</f>
        <v/>
      </c>
      <c r="D16" s="8">
        <f t="array" ref="D16">IF(COUNTA('SESSION LOG'!A:A)&lt;=2,"",INDEX('SESSION LOG'!C:C,COUNTA('SESSION LOG'!A:A)-1))</f>
        <v/>
      </c>
      <c r="E16" s="8" t="n"/>
      <c r="F16" s="38">
        <f t="array" ref="F16">IF(COUNTA('SESSION LOG'!A:A)&lt;=2,"",INDEX('SESSION LOG'!F:F,COUNTA('SESSION LOG'!A:A)-1))</f>
        <v/>
      </c>
      <c r="G16" s="38">
        <f t="array" ref="G16">IF(COUNTA('SESSION LOG'!A:A)&lt;=2,"",INDEX('SESSION LOG'!G:G,COUNTA('SESSION LOG'!A:A)-1))</f>
        <v/>
      </c>
      <c r="H16" s="38">
        <f t="array" ref="H16">IF(COUNTA('SESSION LOG'!A:A)&lt;=2,"",INDEX('SESSION LOG'!J:J,COUNTA('SESSION LOG'!A:A)-1))</f>
        <v/>
      </c>
    </row>
    <row r="17">
      <c r="B17" s="38">
        <f t="array" ref="B17">IF(COUNTA('SESSION LOG'!A:A)&lt;=3,"",INDEX('SESSION LOG'!A:A,COUNTA('SESSION LOG'!A:A)-2))</f>
        <v/>
      </c>
      <c r="C17" s="38">
        <f t="array" ref="C17">IF(COUNTA('SESSION LOG'!A:A)&lt;=3,"",INDEX('SESSION LOG'!B:B,COUNTA('SESSION LOG'!A:A)-2))</f>
        <v/>
      </c>
      <c r="D17" s="8">
        <f t="array" ref="D17">IF(COUNTA('SESSION LOG'!A:A)&lt;=3,"",INDEX('SESSION LOG'!C:C,COUNTA('SESSION LOG'!A:A)-2))</f>
        <v/>
      </c>
      <c r="E17" s="8" t="n"/>
      <c r="F17" s="38">
        <f t="array" ref="F17">IF(COUNTA('SESSION LOG'!A:A)&lt;=3,"",INDEX('SESSION LOG'!F:F,COUNTA('SESSION LOG'!A:A)-2))</f>
        <v/>
      </c>
      <c r="G17" s="38">
        <f t="array" ref="G17">IF(COUNTA('SESSION LOG'!A:A)&lt;=3,"",INDEX('SESSION LOG'!G:G,COUNTA('SESSION LOG'!A:A)-2))</f>
        <v/>
      </c>
      <c r="H17" s="38">
        <f t="array" ref="H17">IF(COUNTA('SESSION LOG'!A:A)&lt;=3,"",INDEX('SESSION LOG'!J:J,COUNTA('SESSION LOG'!A:A)-2))</f>
        <v/>
      </c>
    </row>
    <row r="19">
      <c r="A19" s="42" t="inlineStr">
        <is>
          <t>WEEKLY REPORT (Auto-Generated)</t>
        </is>
      </c>
    </row>
    <row r="20">
      <c r="A20" s="38" t="inlineStr">
        <is>
          <t>Report Text</t>
        </is>
      </c>
      <c r="B20" s="43">
        <f>"REFINEMENT PROGRESS - Week of "&amp;TEXT(TODAY(),"MMM DD, YYYY")&amp;CHAR(10)&amp;CHAR(10)&amp;"✅ STORIES REFINED THIS WEEK"&amp;CHAR(10)&amp;"   • Sessions conducted: "&amp;COUNTIFS('SESSION LOG'!C:C,"&gt;="&amp;TODAY()-7,'SESSION LOG'!C:C,"&lt;="&amp;TODAY())&amp;CHAR(10)&amp;"   • Stories moved to Ready: "&amp;SUMIFS('SESSION LOG'!F:F,'SESSION LOG'!C:C,"&gt;="&amp;TODAY()-7,'SESSION LOG'!C:C,"&lt;="&amp;TODAY())&amp;CHAR(10)&amp;"   • Cumulative progress: "&amp;C9&amp;"/"&amp;C7&amp;" ("&amp;ROUND(C11,0)&amp;"%)"&amp;CHAR(10)&amp;CHAR(10)&amp;"📈 VELOCITY METRICS"&amp;CHAR(10)&amp;"   • Current velocity: "&amp;ROUND(G9,1)&amp;" stories/session"&amp;CHAR(10)&amp;"   • Target velocity: 6.5 stories/session"&amp;CHAR(10)&amp;"   • Status: "&amp;G6&amp;CHAR(10)&amp;CHAR(10)&amp;"📅 TIMELINE"&amp;CHAR(10)&amp;"   • Sessions remaining: "&amp;(15-COUNTA('SESSION LOG'!F2:F16))&amp;CHAR(10)&amp;"   • Projected completion: "&amp;G11&amp;CHAR(10)&amp;"   • On track for Sprint 5: "&amp;IF(G11="Sprint 5","YES ✅",IF(G11="Sprint 6","ALMOST ⚠️","NO ❌"))</f>
        <v/>
      </c>
    </row>
    <row r="21" ht="15.75" customHeight="1" s="39"/>
    <row r="22" ht="15.75" customHeight="1" s="39"/>
    <row r="23" ht="15.75" customHeight="1" s="39"/>
    <row r="24" ht="15.75" customHeight="1" s="39"/>
    <row r="25" ht="162.75" customHeight="1" s="39"/>
    <row r="26" ht="15.75" customHeight="1" s="39"/>
    <row r="27" ht="15.75" customHeight="1" s="39">
      <c r="A27" s="44" t="inlineStr">
        <is>
          <t>📊 PI PROGRESS</t>
        </is>
      </c>
    </row>
    <row r="28" ht="15.75" customHeight="1" s="39">
      <c r="A28" s="45" t="inlineStr">
        <is>
          <t>See PI PROGRESS sheet for detailed PI tracking →</t>
        </is>
      </c>
    </row>
    <row r="29" ht="15.75" customHeight="1" s="39"/>
    <row r="30" ht="15.75" customHeight="1" s="39">
      <c r="A30" s="44" t="inlineStr">
        <is>
          <t>📊 PI PROGRESS</t>
        </is>
      </c>
    </row>
    <row r="31" ht="15.75" customHeight="1" s="39">
      <c r="A31" s="45" t="inlineStr">
        <is>
          <t>See PI PROGRESS sheet for PI tracking →</t>
        </is>
      </c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4">
    <mergeCell ref="B20:H25"/>
    <mergeCell ref="A13:H13"/>
    <mergeCell ref="A19:H19"/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style="39" min="1" max="1"/>
    <col width="15" customWidth="1" style="39" min="2" max="2"/>
    <col width="15" customWidth="1" style="39" min="3" max="3"/>
    <col width="15" customWidth="1" style="39" min="4" max="4"/>
    <col width="15" customWidth="1" style="39" min="5" max="5"/>
    <col width="15" customWidth="1" style="39" min="6" max="6"/>
    <col width="15" customWidth="1" style="39" min="7" max="7"/>
    <col width="15" customWidth="1" style="39" min="8" max="8"/>
  </cols>
  <sheetData>
    <row r="1">
      <c r="A1" s="46" t="inlineStr">
        <is>
          <t>PI PROGRESS TRACKER</t>
        </is>
      </c>
    </row>
    <row r="2">
      <c r="A2" s="47" t="inlineStr">
        <is>
          <t>PI Label</t>
        </is>
      </c>
      <c r="B2" s="47" t="inlineStr">
        <is>
          <t>Total Stories</t>
        </is>
      </c>
      <c r="C2" s="47" t="inlineStr">
        <is>
          <t>Refined (Ready)</t>
        </is>
      </c>
      <c r="D2" s="47" t="inlineStr">
        <is>
          <t>To Refine (Open)</t>
        </is>
      </c>
      <c r="E2" s="47" t="inlineStr">
        <is>
          <t>Other Status</t>
        </is>
      </c>
      <c r="F2" s="47" t="inlineStr">
        <is>
          <t>% Complete</t>
        </is>
      </c>
      <c r="G2" s="47" t="inlineStr">
        <is>
          <t>Progress</t>
        </is>
      </c>
      <c r="H2" s="47" t="inlineStr">
        <is>
          <t>Status</t>
        </is>
      </c>
    </row>
    <row r="3">
      <c r="A3" t="inlineStr">
        <is>
          <t>SSF_PI#01</t>
        </is>
      </c>
      <c r="B3">
        <f>COUNTIF('JIRA DATA'!J:J,A3)</f>
        <v/>
      </c>
      <c r="C3">
        <f>COUNTIFS('JIRA DATA'!J:J,A3,'JIRA DATA'!E:E,"Ready")</f>
        <v/>
      </c>
      <c r="D3">
        <f>COUNTIFS('JIRA DATA'!J:J,A3,'JIRA DATA'!E:E,"Open")</f>
        <v/>
      </c>
      <c r="E3">
        <f>B3-C3-D3</f>
        <v/>
      </c>
      <c r="F3" s="48">
        <f>IF(B3=0,0,C3/B3)</f>
        <v/>
      </c>
      <c r="G3">
        <f>C3&amp;"/"&amp;B3</f>
        <v/>
      </c>
      <c r="H3">
        <f>IF(F3&gt;0.7,"🟢",IF(F3&gt;0.3,"🟡","🔴"))</f>
        <v/>
      </c>
    </row>
    <row r="4">
      <c r="A4" t="inlineStr">
        <is>
          <t>SSF_PI#02</t>
        </is>
      </c>
      <c r="B4">
        <f>COUNTIF('JIRA DATA'!J:J,A4)</f>
        <v/>
      </c>
      <c r="C4">
        <f>COUNTIFS('JIRA DATA'!J:J,A4,'JIRA DATA'!E:E,"Ready")</f>
        <v/>
      </c>
      <c r="D4">
        <f>COUNTIFS('JIRA DATA'!J:J,A4,'JIRA DATA'!E:E,"Open")</f>
        <v/>
      </c>
      <c r="E4">
        <f>B4-C4-D4</f>
        <v/>
      </c>
      <c r="F4" s="48">
        <f>IF(B4=0,0,C4/B4)</f>
        <v/>
      </c>
      <c r="G4">
        <f>C4&amp;"/"&amp;B4</f>
        <v/>
      </c>
      <c r="H4">
        <f>IF(F4&gt;0.7,"🟢",IF(F4&gt;0.3,"🟡","🔴"))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style="39" min="1" max="1"/>
    <col width="13" customWidth="1" style="39" min="2" max="2"/>
    <col width="45.140625" customWidth="1" style="39" min="3" max="3"/>
    <col width="27.5703125" customWidth="1" style="39" min="4" max="4"/>
    <col width="10" customWidth="1" style="39" min="5" max="5"/>
    <col width="11.85546875" customWidth="1" style="39" min="6" max="6"/>
    <col width="12" customWidth="1" style="39" min="7" max="8"/>
    <col width="16" customWidth="1" style="39" min="9" max="9"/>
    <col width="14" customWidth="1" style="39" min="10" max="10"/>
    <col width="20" customWidth="1" style="39" min="11" max="11"/>
    <col width="8.7109375" customWidth="1" style="39" min="12" max="13"/>
    <col width="13.28515625" customWidth="1" style="39" min="14" max="14"/>
    <col width="50.42578125" customWidth="1" style="39" min="15" max="15"/>
    <col width="6.5703125" customWidth="1" style="39" min="16" max="16"/>
    <col width="61.7109375" customWidth="1" style="39" min="17" max="17"/>
    <col width="8.7109375" customWidth="1" style="39" min="18" max="26"/>
  </cols>
  <sheetData>
    <row r="1">
      <c r="A1" s="31" t="inlineStr">
        <is>
          <t>SESSION CALENDAR - All 13 Remaining Sessions</t>
        </is>
      </c>
    </row>
    <row r="2">
      <c r="A2" s="31" t="inlineStr">
        <is>
          <t>Session #</t>
        </is>
      </c>
      <c r="B2" s="31" t="inlineStr">
        <is>
          <t>Sprint</t>
        </is>
      </c>
      <c r="C2" s="31" t="inlineStr">
        <is>
          <t>Week</t>
        </is>
      </c>
      <c r="D2" s="9" t="inlineStr">
        <is>
          <t>Date</t>
        </is>
      </c>
      <c r="E2" s="31" t="n"/>
      <c r="F2" s="10" t="inlineStr">
        <is>
          <t>Time</t>
        </is>
      </c>
      <c r="G2" s="31" t="inlineStr">
        <is>
          <t>Duration</t>
        </is>
      </c>
      <c r="H2" s="31" t="inlineStr">
        <is>
          <t>Target</t>
        </is>
      </c>
      <c r="I2" s="31" t="inlineStr">
        <is>
          <t>Prep Deadline</t>
        </is>
      </c>
      <c r="J2" s="31" t="inlineStr">
        <is>
          <t>Status</t>
        </is>
      </c>
      <c r="K2" s="31" t="inlineStr">
        <is>
          <t>Notes</t>
        </is>
      </c>
    </row>
    <row r="3">
      <c r="A3" s="38" t="n">
        <v>3</v>
      </c>
      <c r="B3" s="38" t="n">
        <v>1</v>
      </c>
      <c r="C3" s="38" t="n">
        <v>2</v>
      </c>
      <c r="D3" s="8" t="n">
        <v>45973</v>
      </c>
      <c r="F3" s="11" t="n">
        <v>0.4166666666666667</v>
      </c>
      <c r="G3" s="38" t="n">
        <v>60</v>
      </c>
      <c r="H3" s="38" t="n">
        <v>7</v>
      </c>
      <c r="J3" s="38" t="inlineStr">
        <is>
          <t>🟡 This Week</t>
        </is>
      </c>
    </row>
    <row r="4">
      <c r="A4" s="38" t="n">
        <v>4</v>
      </c>
      <c r="B4" s="38" t="n">
        <v>2</v>
      </c>
      <c r="C4" s="38" t="n">
        <v>1</v>
      </c>
      <c r="D4" s="8" t="n">
        <v>45980</v>
      </c>
      <c r="F4" s="11" t="n"/>
      <c r="G4" s="38" t="n">
        <v>60</v>
      </c>
      <c r="H4" s="38" t="n">
        <v>7</v>
      </c>
      <c r="J4" s="38" t="inlineStr">
        <is>
          <t>🟢 Upcoming</t>
        </is>
      </c>
    </row>
    <row r="5">
      <c r="A5" s="38" t="n">
        <v>5</v>
      </c>
      <c r="B5" s="38" t="n">
        <v>2</v>
      </c>
      <c r="C5" s="38" t="n">
        <v>1</v>
      </c>
      <c r="D5" s="8" t="n">
        <v>45982</v>
      </c>
      <c r="F5" s="11" t="n"/>
      <c r="G5" s="38" t="n">
        <v>60</v>
      </c>
      <c r="H5" s="38" t="n">
        <v>7</v>
      </c>
      <c r="J5" s="38" t="inlineStr">
        <is>
          <t>🟢 Upcoming</t>
        </is>
      </c>
    </row>
    <row r="6">
      <c r="A6" s="38" t="n">
        <v>6</v>
      </c>
      <c r="B6" s="38" t="n">
        <v>2</v>
      </c>
      <c r="C6" s="38" t="n">
        <v>2</v>
      </c>
      <c r="D6" s="8" t="n">
        <v>45987</v>
      </c>
      <c r="F6" s="11" t="n"/>
      <c r="G6" s="38" t="n">
        <v>60</v>
      </c>
      <c r="H6" s="38" t="n">
        <v>7</v>
      </c>
      <c r="J6" s="38" t="inlineStr">
        <is>
          <t>🟢 Upcoming</t>
        </is>
      </c>
    </row>
    <row r="7">
      <c r="A7" s="38" t="n">
        <v>7</v>
      </c>
      <c r="B7" s="38" t="n">
        <v>3</v>
      </c>
      <c r="C7" s="38" t="n">
        <v>1</v>
      </c>
      <c r="D7" s="8" t="n">
        <v>45994</v>
      </c>
      <c r="F7" s="11" t="n"/>
      <c r="G7" s="38" t="n">
        <v>60</v>
      </c>
      <c r="H7" s="38" t="n">
        <v>7</v>
      </c>
      <c r="J7" s="38" t="inlineStr">
        <is>
          <t>🟢 Upcoming</t>
        </is>
      </c>
    </row>
    <row r="8">
      <c r="A8" s="38" t="n">
        <v>8</v>
      </c>
      <c r="B8" s="38" t="n">
        <v>3</v>
      </c>
      <c r="C8" s="38" t="n">
        <v>1</v>
      </c>
      <c r="D8" s="8" t="n">
        <v>45996</v>
      </c>
      <c r="F8" s="11" t="n"/>
      <c r="G8" s="38" t="n">
        <v>60</v>
      </c>
      <c r="H8" s="38" t="n">
        <v>7</v>
      </c>
      <c r="J8" s="38" t="inlineStr">
        <is>
          <t>🟢 Upcoming</t>
        </is>
      </c>
    </row>
    <row r="9">
      <c r="A9" s="38" t="n">
        <v>9</v>
      </c>
      <c r="B9" s="38" t="n">
        <v>3</v>
      </c>
      <c r="C9" s="38" t="n">
        <v>2</v>
      </c>
      <c r="D9" s="8" t="n">
        <v>46001</v>
      </c>
      <c r="F9" s="11" t="n"/>
      <c r="G9" s="38" t="n">
        <v>60</v>
      </c>
      <c r="H9" s="38" t="n">
        <v>7</v>
      </c>
      <c r="J9" s="38" t="inlineStr">
        <is>
          <t>🟢 Upcoming</t>
        </is>
      </c>
    </row>
    <row r="10">
      <c r="A10" s="38" t="n">
        <v>10</v>
      </c>
      <c r="B10" s="38" t="n">
        <v>4</v>
      </c>
      <c r="C10" s="38" t="n">
        <v>1</v>
      </c>
      <c r="D10" s="8" t="n">
        <v>46008</v>
      </c>
      <c r="F10" s="11" t="n"/>
      <c r="G10" s="38" t="n">
        <v>60</v>
      </c>
      <c r="H10" s="38" t="n">
        <v>7</v>
      </c>
      <c r="J10" s="38" t="inlineStr">
        <is>
          <t>🟢 Upcoming</t>
        </is>
      </c>
    </row>
    <row r="11">
      <c r="A11" s="38" t="n">
        <v>11</v>
      </c>
      <c r="B11" s="38" t="n">
        <v>4</v>
      </c>
      <c r="C11" s="38" t="n">
        <v>1</v>
      </c>
      <c r="D11" s="8" t="n">
        <v>46010</v>
      </c>
      <c r="F11" s="11" t="n"/>
      <c r="G11" s="38" t="n">
        <v>60</v>
      </c>
      <c r="H11" s="38" t="n">
        <v>7</v>
      </c>
      <c r="J11" s="38" t="inlineStr">
        <is>
          <t>🟢 Upcoming</t>
        </is>
      </c>
    </row>
    <row r="12">
      <c r="A12" s="38" t="n">
        <v>12</v>
      </c>
      <c r="B12" s="38" t="n">
        <v>4</v>
      </c>
      <c r="C12" s="38" t="n">
        <v>2</v>
      </c>
      <c r="D12" s="8" t="n">
        <v>46015</v>
      </c>
      <c r="F12" s="11" t="n"/>
      <c r="G12" s="38" t="n">
        <v>60</v>
      </c>
      <c r="H12" s="38" t="n">
        <v>7</v>
      </c>
      <c r="J12" s="38" t="inlineStr">
        <is>
          <t>🟢 Upcoming</t>
        </is>
      </c>
    </row>
    <row r="13">
      <c r="A13" s="38" t="n">
        <v>13</v>
      </c>
      <c r="B13" s="38" t="n">
        <v>5</v>
      </c>
      <c r="C13" s="38" t="n">
        <v>1</v>
      </c>
      <c r="D13" s="8" t="n">
        <v>46029</v>
      </c>
      <c r="F13" s="11" t="n"/>
      <c r="G13" s="38" t="n">
        <v>60</v>
      </c>
      <c r="H13" s="38" t="n">
        <v>7</v>
      </c>
      <c r="J13" s="38" t="inlineStr">
        <is>
          <t>🟢 Upcoming</t>
        </is>
      </c>
    </row>
    <row r="14">
      <c r="A14" s="38" t="n">
        <v>14</v>
      </c>
      <c r="B14" s="38" t="n">
        <v>5</v>
      </c>
      <c r="C14" s="38" t="n">
        <v>1</v>
      </c>
      <c r="D14" s="8" t="n">
        <v>46031</v>
      </c>
      <c r="F14" s="11" t="n"/>
      <c r="G14" s="38" t="n">
        <v>60</v>
      </c>
      <c r="H14" s="38" t="n">
        <v>7</v>
      </c>
      <c r="J14" s="38" t="inlineStr">
        <is>
          <t>🟢 Upcoming</t>
        </is>
      </c>
    </row>
    <row r="15">
      <c r="A15" s="38" t="n">
        <v>15</v>
      </c>
      <c r="B15" s="38" t="n">
        <v>5</v>
      </c>
      <c r="C15" s="38" t="n">
        <v>2</v>
      </c>
      <c r="D15" s="8" t="n">
        <v>46036</v>
      </c>
      <c r="F15" s="11" t="n"/>
      <c r="G15" s="38" t="n">
        <v>60</v>
      </c>
      <c r="H15" s="38" t="n">
        <v>7</v>
      </c>
      <c r="J15" s="38" t="inlineStr">
        <is>
          <t>🟢 Upcoming</t>
        </is>
      </c>
    </row>
    <row r="16">
      <c r="D16" s="8" t="n"/>
      <c r="F16" s="11" t="n"/>
    </row>
    <row r="17">
      <c r="D17" s="8" t="n"/>
      <c r="F17" s="11" t="n"/>
    </row>
    <row r="18">
      <c r="D18" s="8" t="n"/>
      <c r="F18" s="11" t="n"/>
    </row>
    <row r="19">
      <c r="D19" s="8" t="n"/>
      <c r="F19" s="11" t="n"/>
    </row>
    <row r="20">
      <c r="D20" s="8" t="n"/>
      <c r="F20" s="11" t="n"/>
    </row>
    <row r="21" ht="15.75" customHeight="1" s="39">
      <c r="D21" s="8" t="n"/>
      <c r="F21" s="11" t="n"/>
    </row>
    <row r="22" ht="15.75" customHeight="1" s="39"/>
    <row r="23" ht="15.75" customHeight="1" s="39">
      <c r="F23" s="11" t="n"/>
    </row>
    <row r="24" ht="15.75" customHeight="1" s="39">
      <c r="F24" s="11" t="n"/>
    </row>
    <row r="25" ht="15.75" customHeight="1" s="39">
      <c r="F25" s="11" t="n"/>
    </row>
    <row r="26" ht="15.75" customHeight="1" s="39">
      <c r="F26" s="11" t="n"/>
    </row>
    <row r="27" ht="15.75" customHeight="1" s="39">
      <c r="F27" s="11" t="n"/>
    </row>
    <row r="28" ht="15.75" customHeight="1" s="39">
      <c r="F28" s="11" t="n"/>
    </row>
    <row r="29" ht="15.75" customHeight="1" s="39">
      <c r="F29" s="11" t="n"/>
    </row>
    <row r="30" ht="15.75" customHeight="1" s="39">
      <c r="F30" s="11" t="n"/>
    </row>
    <row r="31" ht="15.75" customHeight="1" s="39">
      <c r="F31" s="11" t="n"/>
    </row>
    <row r="32" ht="15.75" customHeight="1" s="39">
      <c r="F32" s="11" t="n"/>
    </row>
    <row r="33" ht="15.75" customHeight="1" s="39">
      <c r="F33" s="11" t="n"/>
    </row>
    <row r="34" ht="15.75" customHeight="1" s="39">
      <c r="F34" s="11" t="n"/>
    </row>
    <row r="35" ht="15.75" customHeight="1" s="39">
      <c r="F35" s="11" t="n"/>
    </row>
    <row r="36" ht="15.75" customHeight="1" s="39">
      <c r="D36" s="8" t="n"/>
      <c r="F36" s="11" t="n"/>
    </row>
    <row r="37" ht="15.75" customHeight="1" s="39">
      <c r="D37" s="8" t="n"/>
      <c r="F37" s="11" t="n"/>
    </row>
    <row r="38" ht="15.75" customHeight="1" s="39">
      <c r="D38" s="8" t="n"/>
      <c r="F38" s="11" t="n"/>
    </row>
    <row r="39" ht="15.75" customHeight="1" s="39">
      <c r="D39" s="8" t="n"/>
      <c r="F39" s="11" t="n"/>
    </row>
    <row r="40" ht="15.75" customHeight="1" s="39">
      <c r="D40" s="8" t="n"/>
      <c r="F40" s="11" t="n"/>
    </row>
    <row r="41" ht="15.75" customHeight="1" s="39">
      <c r="D41" s="8" t="n"/>
      <c r="F41" s="11" t="n"/>
    </row>
    <row r="42" ht="15.75" customHeight="1" s="39">
      <c r="D42" s="8" t="n"/>
      <c r="F42" s="11" t="n"/>
    </row>
    <row r="43" ht="15.75" customHeight="1" s="39">
      <c r="D43" s="8" t="n"/>
      <c r="F43" s="11" t="n"/>
    </row>
    <row r="44" ht="15.75" customHeight="1" s="39">
      <c r="D44" s="8" t="n"/>
      <c r="F44" s="11" t="n"/>
    </row>
    <row r="45" ht="15.75" customHeight="1" s="39">
      <c r="D45" s="8" t="n"/>
      <c r="F45" s="11" t="n"/>
    </row>
    <row r="46" ht="15.75" customHeight="1" s="39">
      <c r="D46" s="8" t="n"/>
      <c r="F46" s="11" t="n"/>
    </row>
    <row r="47" ht="15.75" customHeight="1" s="39">
      <c r="D47" s="8" t="n"/>
      <c r="F47" s="11" t="n"/>
    </row>
    <row r="48" ht="15.75" customHeight="1" s="39">
      <c r="D48" s="8" t="n"/>
      <c r="F48" s="11" t="n"/>
    </row>
    <row r="49" ht="15.75" customHeight="1" s="39">
      <c r="D49" s="8" t="n"/>
      <c r="F49" s="11" t="n"/>
    </row>
    <row r="50" ht="15.75" customHeight="1" s="39">
      <c r="D50" s="8" t="n"/>
      <c r="F50" s="11" t="n"/>
    </row>
    <row r="51" ht="15.75" customHeight="1" s="39">
      <c r="D51" s="8" t="n"/>
      <c r="F51" s="11" t="n"/>
    </row>
    <row r="52" ht="15.75" customHeight="1" s="39">
      <c r="D52" s="8" t="n"/>
      <c r="F52" s="11" t="n"/>
    </row>
    <row r="53" ht="15.75" customHeight="1" s="39">
      <c r="D53" s="8" t="n"/>
      <c r="F53" s="11" t="n"/>
    </row>
    <row r="54" ht="15.75" customHeight="1" s="39">
      <c r="D54" s="8" t="n"/>
      <c r="F54" s="11" t="n"/>
    </row>
    <row r="55" ht="15.75" customHeight="1" s="39">
      <c r="D55" s="8" t="n"/>
      <c r="F55" s="11" t="n"/>
    </row>
    <row r="56" ht="15.75" customHeight="1" s="39">
      <c r="D56" s="8" t="n"/>
      <c r="F56" s="11" t="n"/>
    </row>
    <row r="57" ht="15.75" customHeight="1" s="39">
      <c r="D57" s="8" t="n"/>
      <c r="F57" s="11" t="n"/>
    </row>
    <row r="58" ht="15.75" customHeight="1" s="39">
      <c r="D58" s="8" t="n"/>
      <c r="F58" s="11" t="n"/>
    </row>
    <row r="59" ht="15.75" customHeight="1" s="39">
      <c r="D59" s="8" t="n"/>
      <c r="F59" s="11" t="n"/>
    </row>
    <row r="60" ht="15.75" customHeight="1" s="39">
      <c r="D60" s="8" t="n"/>
      <c r="F60" s="11" t="n"/>
    </row>
    <row r="61" ht="15.75" customHeight="1" s="39">
      <c r="D61" s="8" t="n"/>
      <c r="F61" s="11" t="n"/>
    </row>
    <row r="62" ht="15.75" customHeight="1" s="39">
      <c r="D62" s="8" t="n"/>
      <c r="F62" s="11" t="n"/>
    </row>
    <row r="63" ht="15.75" customHeight="1" s="39">
      <c r="D63" s="8" t="n"/>
      <c r="F63" s="11" t="n"/>
    </row>
    <row r="64" ht="15.75" customHeight="1" s="39">
      <c r="D64" s="8" t="n"/>
      <c r="F64" s="11" t="n"/>
    </row>
    <row r="65" ht="15.75" customHeight="1" s="39">
      <c r="D65" s="8" t="n"/>
      <c r="F65" s="11" t="n"/>
    </row>
    <row r="66" ht="15.75" customHeight="1" s="39">
      <c r="D66" s="8" t="n"/>
      <c r="F66" s="11" t="n"/>
    </row>
    <row r="67" ht="15.75" customHeight="1" s="39">
      <c r="D67" s="8" t="n"/>
      <c r="F67" s="11" t="n"/>
    </row>
    <row r="68" ht="15.75" customHeight="1" s="39">
      <c r="D68" s="8" t="n"/>
      <c r="F68" s="11" t="n"/>
    </row>
    <row r="69" ht="15.75" customHeight="1" s="39">
      <c r="D69" s="8" t="n"/>
      <c r="F69" s="11" t="n"/>
    </row>
    <row r="70" ht="15.75" customHeight="1" s="39">
      <c r="D70" s="8" t="n"/>
      <c r="F70" s="11" t="n"/>
    </row>
    <row r="71" ht="15.75" customHeight="1" s="39">
      <c r="D71" s="8" t="n"/>
      <c r="F71" s="11" t="n"/>
    </row>
    <row r="72" ht="15.75" customHeight="1" s="39">
      <c r="D72" s="8" t="n"/>
      <c r="F72" s="11" t="n"/>
    </row>
    <row r="73" ht="15.75" customHeight="1" s="39">
      <c r="D73" s="8" t="n"/>
      <c r="F73" s="11" t="n"/>
    </row>
    <row r="74" ht="15.75" customHeight="1" s="39">
      <c r="D74" s="8" t="n"/>
      <c r="F74" s="11" t="n"/>
    </row>
    <row r="75" ht="15.75" customHeight="1" s="39">
      <c r="D75" s="8" t="n"/>
      <c r="F75" s="11" t="n"/>
    </row>
    <row r="76" ht="15.75" customHeight="1" s="39">
      <c r="D76" s="8" t="n"/>
      <c r="F76" s="11" t="n"/>
    </row>
    <row r="77" ht="15.75" customHeight="1" s="39">
      <c r="D77" s="8" t="n"/>
      <c r="F77" s="11" t="n"/>
    </row>
    <row r="78" ht="15.75" customHeight="1" s="39">
      <c r="D78" s="8" t="n"/>
      <c r="F78" s="11" t="n"/>
    </row>
    <row r="79" ht="15.75" customHeight="1" s="39">
      <c r="D79" s="8" t="n"/>
      <c r="F79" s="11" t="n"/>
    </row>
    <row r="80" ht="15.75" customHeight="1" s="39">
      <c r="D80" s="8" t="n"/>
      <c r="F80" s="11" t="n"/>
    </row>
    <row r="81" ht="15.75" customHeight="1" s="39">
      <c r="D81" s="8" t="n"/>
      <c r="F81" s="11" t="n"/>
    </row>
    <row r="82" ht="15.75" customHeight="1" s="39">
      <c r="D82" s="8" t="n"/>
      <c r="F82" s="11" t="n"/>
    </row>
    <row r="83" ht="15.75" customHeight="1" s="39">
      <c r="D83" s="8" t="n"/>
      <c r="F83" s="11" t="n"/>
    </row>
    <row r="84" ht="15.75" customHeight="1" s="39">
      <c r="D84" s="8" t="n"/>
      <c r="F84" s="11" t="n"/>
    </row>
    <row r="85" ht="15.75" customHeight="1" s="39">
      <c r="D85" s="8" t="n"/>
      <c r="F85" s="11" t="n"/>
    </row>
    <row r="86" ht="15.75" customHeight="1" s="39">
      <c r="D86" s="8" t="n"/>
      <c r="F86" s="11" t="n"/>
    </row>
    <row r="87" ht="15.75" customHeight="1" s="39">
      <c r="D87" s="8" t="n"/>
      <c r="F87" s="11" t="n"/>
    </row>
    <row r="88" ht="15.75" customHeight="1" s="39">
      <c r="D88" s="8" t="n"/>
      <c r="F88" s="11" t="n"/>
    </row>
    <row r="89" ht="15.75" customHeight="1" s="39">
      <c r="D89" s="8" t="n"/>
      <c r="F89" s="11" t="n"/>
    </row>
    <row r="90" ht="15.75" customHeight="1" s="39">
      <c r="D90" s="8" t="n"/>
      <c r="F90" s="11" t="n"/>
    </row>
    <row r="91" ht="15.75" customHeight="1" s="39">
      <c r="D91" s="8" t="n"/>
      <c r="F91" s="11" t="n"/>
    </row>
    <row r="92" ht="15.75" customHeight="1" s="39">
      <c r="D92" s="8" t="n"/>
      <c r="F92" s="11" t="n"/>
    </row>
    <row r="93" ht="15.75" customHeight="1" s="39">
      <c r="D93" s="8" t="n"/>
      <c r="F93" s="11" t="n"/>
    </row>
    <row r="94" ht="15.75" customHeight="1" s="39">
      <c r="D94" s="8" t="n"/>
      <c r="F94" s="11" t="n"/>
    </row>
    <row r="95" ht="15.75" customHeight="1" s="39">
      <c r="D95" s="8" t="n"/>
      <c r="F95" s="11" t="n"/>
    </row>
    <row r="96" ht="15.75" customHeight="1" s="39">
      <c r="D96" s="8" t="n"/>
      <c r="F96" s="11" t="n"/>
    </row>
    <row r="97" ht="15.75" customHeight="1" s="39">
      <c r="D97" s="8" t="n"/>
      <c r="F97" s="11" t="n"/>
    </row>
    <row r="98" ht="15.75" customHeight="1" s="39">
      <c r="D98" s="8" t="n"/>
      <c r="F98" s="11" t="n"/>
    </row>
    <row r="99" ht="15.75" customHeight="1" s="39">
      <c r="D99" s="8" t="n"/>
      <c r="F99" s="11" t="n"/>
    </row>
    <row r="100" ht="15.75" customHeight="1" s="39">
      <c r="D100" s="8" t="n"/>
      <c r="F100" s="11" t="n"/>
    </row>
    <row r="101" ht="15.75" customHeight="1" s="39">
      <c r="D101" s="8" t="n"/>
      <c r="F101" s="11" t="n"/>
    </row>
    <row r="102" ht="15.75" customHeight="1" s="39">
      <c r="D102" s="8" t="n"/>
      <c r="F102" s="11" t="n"/>
    </row>
    <row r="103" ht="15.75" customHeight="1" s="39">
      <c r="D103" s="8" t="n"/>
      <c r="F103" s="11" t="n"/>
    </row>
    <row r="104" ht="15.75" customHeight="1" s="39">
      <c r="D104" s="8" t="n"/>
      <c r="F104" s="11" t="n"/>
    </row>
    <row r="105" ht="15.75" customHeight="1" s="39">
      <c r="D105" s="8" t="n"/>
      <c r="F105" s="11" t="n"/>
    </row>
    <row r="106" ht="15.75" customHeight="1" s="39">
      <c r="D106" s="8" t="n"/>
      <c r="F106" s="11" t="n"/>
    </row>
    <row r="107" ht="15.75" customHeight="1" s="39">
      <c r="D107" s="8" t="n"/>
      <c r="F107" s="11" t="n"/>
    </row>
    <row r="108" ht="15.75" customHeight="1" s="39">
      <c r="D108" s="8" t="n"/>
      <c r="F108" s="11" t="n"/>
    </row>
    <row r="109" ht="15.75" customHeight="1" s="39">
      <c r="D109" s="8" t="n"/>
      <c r="F109" s="11" t="n"/>
    </row>
    <row r="110" ht="15.75" customHeight="1" s="39">
      <c r="D110" s="8" t="n"/>
      <c r="F110" s="11" t="n"/>
    </row>
    <row r="111" ht="15.75" customHeight="1" s="39">
      <c r="D111" s="8" t="n"/>
      <c r="F111" s="11" t="n"/>
    </row>
    <row r="112" ht="15.75" customHeight="1" s="39">
      <c r="D112" s="8" t="n"/>
      <c r="F112" s="11" t="n"/>
    </row>
    <row r="113" ht="15.75" customHeight="1" s="39">
      <c r="D113" s="8" t="n"/>
      <c r="F113" s="11" t="n"/>
    </row>
    <row r="114" ht="15.75" customHeight="1" s="39">
      <c r="D114" s="8" t="n"/>
      <c r="F114" s="11" t="n"/>
    </row>
    <row r="115" ht="15.75" customHeight="1" s="39">
      <c r="D115" s="8" t="n"/>
      <c r="F115" s="11" t="n"/>
    </row>
    <row r="116" ht="15.75" customHeight="1" s="39">
      <c r="D116" s="8" t="n"/>
      <c r="F116" s="11" t="n"/>
    </row>
    <row r="117" ht="15.75" customHeight="1" s="39">
      <c r="D117" s="8" t="n"/>
      <c r="F117" s="11" t="n"/>
    </row>
    <row r="118" ht="15.75" customHeight="1" s="39">
      <c r="D118" s="8" t="n"/>
      <c r="F118" s="11" t="n"/>
    </row>
    <row r="119" ht="15.75" customHeight="1" s="39">
      <c r="D119" s="8" t="n"/>
      <c r="F119" s="11" t="n"/>
    </row>
    <row r="120" ht="15.75" customHeight="1" s="39">
      <c r="D120" s="8" t="n"/>
      <c r="F120" s="11" t="n"/>
    </row>
    <row r="121" ht="15.75" customHeight="1" s="39">
      <c r="D121" s="8" t="n"/>
      <c r="F121" s="11" t="n"/>
    </row>
    <row r="122" ht="15.75" customHeight="1" s="39">
      <c r="D122" s="8" t="n"/>
      <c r="F122" s="11" t="n"/>
    </row>
    <row r="123" ht="15.75" customHeight="1" s="39">
      <c r="D123" s="8" t="n"/>
      <c r="F123" s="11" t="n"/>
    </row>
    <row r="124" ht="15.75" customHeight="1" s="39">
      <c r="D124" s="8" t="n"/>
      <c r="F124" s="11" t="n"/>
    </row>
    <row r="125" ht="15.75" customHeight="1" s="39">
      <c r="D125" s="8" t="n"/>
      <c r="F125" s="11" t="n"/>
    </row>
    <row r="126" ht="15.75" customHeight="1" s="39">
      <c r="D126" s="8" t="n"/>
      <c r="F126" s="11" t="n"/>
    </row>
    <row r="127" ht="15.75" customHeight="1" s="39">
      <c r="D127" s="8" t="n"/>
      <c r="F127" s="11" t="n"/>
    </row>
    <row r="128" ht="15.75" customHeight="1" s="39">
      <c r="D128" s="8" t="n"/>
      <c r="F128" s="11" t="n"/>
    </row>
    <row r="129" ht="15.75" customHeight="1" s="39">
      <c r="D129" s="8" t="n"/>
      <c r="F129" s="11" t="n"/>
    </row>
    <row r="130" ht="15.75" customHeight="1" s="39">
      <c r="D130" s="8" t="n"/>
      <c r="F130" s="11" t="n"/>
    </row>
    <row r="131" ht="15.75" customHeight="1" s="39">
      <c r="D131" s="8" t="n"/>
      <c r="F131" s="11" t="n"/>
    </row>
    <row r="132" ht="15.75" customHeight="1" s="39">
      <c r="D132" s="8" t="n"/>
      <c r="F132" s="11" t="n"/>
    </row>
    <row r="133" ht="15.75" customHeight="1" s="39">
      <c r="D133" s="8" t="n"/>
      <c r="F133" s="11" t="n"/>
    </row>
    <row r="134" ht="15.75" customHeight="1" s="39">
      <c r="D134" s="8" t="n"/>
      <c r="F134" s="11" t="n"/>
    </row>
    <row r="135" ht="15.75" customHeight="1" s="39">
      <c r="D135" s="8" t="n"/>
      <c r="F135" s="11" t="n"/>
    </row>
    <row r="136" ht="15.75" customHeight="1" s="39">
      <c r="D136" s="8" t="n"/>
      <c r="F136" s="11" t="n"/>
    </row>
    <row r="137" ht="15.75" customHeight="1" s="39">
      <c r="D137" s="8" t="n"/>
      <c r="F137" s="11" t="n"/>
    </row>
    <row r="138" ht="15.75" customHeight="1" s="39">
      <c r="D138" s="8" t="n"/>
      <c r="F138" s="11" t="n"/>
    </row>
    <row r="139" ht="15.75" customHeight="1" s="39">
      <c r="D139" s="8" t="n"/>
      <c r="F139" s="11" t="n"/>
    </row>
    <row r="140" ht="15.75" customHeight="1" s="39">
      <c r="D140" s="8" t="n"/>
      <c r="F140" s="11" t="n"/>
    </row>
    <row r="141" ht="15.75" customHeight="1" s="39">
      <c r="D141" s="8" t="n"/>
      <c r="F141" s="11" t="n"/>
    </row>
    <row r="142" ht="15.75" customHeight="1" s="39">
      <c r="D142" s="8" t="n"/>
      <c r="F142" s="11" t="n"/>
    </row>
    <row r="143" ht="15.75" customHeight="1" s="39">
      <c r="D143" s="8" t="n"/>
      <c r="F143" s="11" t="n"/>
    </row>
    <row r="144" ht="15.75" customHeight="1" s="39">
      <c r="D144" s="8" t="n"/>
      <c r="F144" s="11" t="n"/>
    </row>
    <row r="145" ht="15.75" customHeight="1" s="39">
      <c r="D145" s="8" t="n"/>
      <c r="F145" s="11" t="n"/>
    </row>
    <row r="146" ht="15.75" customHeight="1" s="39">
      <c r="D146" s="8" t="n"/>
      <c r="F146" s="11" t="n"/>
    </row>
    <row r="147" ht="15.75" customHeight="1" s="39">
      <c r="D147" s="8" t="n"/>
      <c r="F147" s="11" t="n"/>
    </row>
    <row r="148" ht="15.75" customHeight="1" s="39">
      <c r="D148" s="8" t="n"/>
      <c r="F148" s="11" t="n"/>
    </row>
    <row r="149" ht="15.75" customHeight="1" s="39">
      <c r="D149" s="8" t="n"/>
      <c r="F149" s="11" t="n"/>
    </row>
    <row r="150" ht="15.75" customHeight="1" s="39">
      <c r="D150" s="8" t="n"/>
      <c r="F150" s="11" t="n"/>
    </row>
    <row r="151" ht="15.75" customHeight="1" s="39">
      <c r="D151" s="8" t="n"/>
      <c r="F151" s="11" t="n"/>
    </row>
    <row r="152" ht="15.75" customHeight="1" s="39">
      <c r="D152" s="8" t="n"/>
      <c r="F152" s="11" t="n"/>
    </row>
    <row r="153" ht="15.75" customHeight="1" s="39">
      <c r="D153" s="8" t="n"/>
      <c r="F153" s="11" t="n"/>
    </row>
    <row r="154" ht="15.75" customHeight="1" s="39">
      <c r="D154" s="8" t="n"/>
      <c r="F154" s="11" t="n"/>
    </row>
    <row r="155" ht="15.75" customHeight="1" s="39">
      <c r="D155" s="8" t="n"/>
      <c r="F155" s="11" t="n"/>
    </row>
    <row r="156" ht="15.75" customHeight="1" s="39">
      <c r="D156" s="8" t="n"/>
      <c r="F156" s="11" t="n"/>
    </row>
    <row r="157" ht="15.75" customHeight="1" s="39">
      <c r="D157" s="8" t="n"/>
      <c r="F157" s="11" t="n"/>
    </row>
    <row r="158" ht="15.75" customHeight="1" s="39">
      <c r="D158" s="8" t="n"/>
      <c r="F158" s="11" t="n"/>
    </row>
    <row r="159" ht="15.75" customHeight="1" s="39">
      <c r="D159" s="8" t="n"/>
      <c r="F159" s="11" t="n"/>
    </row>
    <row r="160" ht="15.75" customHeight="1" s="39">
      <c r="D160" s="8" t="n"/>
      <c r="F160" s="11" t="n"/>
    </row>
    <row r="161" ht="15.75" customHeight="1" s="39">
      <c r="D161" s="8" t="n"/>
      <c r="F161" s="11" t="n"/>
    </row>
    <row r="162" ht="15.75" customHeight="1" s="39">
      <c r="D162" s="8" t="n"/>
      <c r="F162" s="11" t="n"/>
    </row>
    <row r="163" ht="15.75" customHeight="1" s="39">
      <c r="D163" s="8" t="n"/>
      <c r="F163" s="11" t="n"/>
    </row>
    <row r="164" ht="15.75" customHeight="1" s="39">
      <c r="D164" s="8" t="n"/>
      <c r="F164" s="11" t="n"/>
    </row>
    <row r="165" ht="15.75" customHeight="1" s="39">
      <c r="D165" s="8" t="n"/>
      <c r="F165" s="11" t="n"/>
    </row>
    <row r="166" ht="15.75" customHeight="1" s="39">
      <c r="D166" s="8" t="n"/>
      <c r="F166" s="11" t="n"/>
    </row>
    <row r="167" ht="15.75" customHeight="1" s="39">
      <c r="D167" s="8" t="n"/>
      <c r="F167" s="11" t="n"/>
    </row>
    <row r="168" ht="15.75" customHeight="1" s="39">
      <c r="D168" s="8" t="n"/>
      <c r="F168" s="11" t="n"/>
    </row>
    <row r="169" ht="15.75" customHeight="1" s="39">
      <c r="D169" s="8" t="n"/>
      <c r="F169" s="11" t="n"/>
    </row>
    <row r="170" ht="15.75" customHeight="1" s="39">
      <c r="D170" s="8" t="n"/>
      <c r="F170" s="11" t="n"/>
    </row>
    <row r="171" ht="15.75" customHeight="1" s="39">
      <c r="D171" s="8" t="n"/>
      <c r="F171" s="11" t="n"/>
    </row>
    <row r="172" ht="15.75" customHeight="1" s="39">
      <c r="D172" s="8" t="n"/>
      <c r="F172" s="11" t="n"/>
    </row>
    <row r="173" ht="15.75" customHeight="1" s="39">
      <c r="D173" s="8" t="n"/>
      <c r="F173" s="11" t="n"/>
    </row>
    <row r="174" ht="15.75" customHeight="1" s="39">
      <c r="D174" s="8" t="n"/>
      <c r="F174" s="11" t="n"/>
    </row>
    <row r="175" ht="15.75" customHeight="1" s="39">
      <c r="D175" s="8" t="n"/>
      <c r="F175" s="11" t="n"/>
    </row>
    <row r="176" ht="15.75" customHeight="1" s="39">
      <c r="D176" s="8" t="n"/>
      <c r="F176" s="11" t="n"/>
    </row>
    <row r="177" ht="15.75" customHeight="1" s="39">
      <c r="D177" s="8" t="n"/>
      <c r="F177" s="11" t="n"/>
    </row>
    <row r="178" ht="15.75" customHeight="1" s="39">
      <c r="D178" s="8" t="n"/>
      <c r="F178" s="11" t="n"/>
    </row>
    <row r="179" ht="15.75" customHeight="1" s="39">
      <c r="D179" s="8" t="n"/>
      <c r="F179" s="11" t="n"/>
    </row>
    <row r="180" ht="15.75" customHeight="1" s="39">
      <c r="D180" s="8" t="n"/>
      <c r="F180" s="11" t="n"/>
    </row>
    <row r="181" ht="15.75" customHeight="1" s="39">
      <c r="D181" s="8" t="n"/>
      <c r="F181" s="11" t="n"/>
    </row>
    <row r="182" ht="15.75" customHeight="1" s="39">
      <c r="D182" s="8" t="n"/>
      <c r="F182" s="11" t="n"/>
    </row>
    <row r="183" ht="15.75" customHeight="1" s="39">
      <c r="D183" s="8" t="n"/>
      <c r="F183" s="11" t="n"/>
    </row>
    <row r="184" ht="15.75" customHeight="1" s="39">
      <c r="D184" s="8" t="n"/>
      <c r="F184" s="11" t="n"/>
    </row>
    <row r="185" ht="15.75" customHeight="1" s="39">
      <c r="D185" s="8" t="n"/>
      <c r="F185" s="11" t="n"/>
    </row>
    <row r="186" ht="15.75" customHeight="1" s="39">
      <c r="D186" s="8" t="n"/>
      <c r="F186" s="11" t="n"/>
    </row>
    <row r="187" ht="15.75" customHeight="1" s="39">
      <c r="D187" s="8" t="n"/>
      <c r="F187" s="11" t="n"/>
    </row>
    <row r="188" ht="15.75" customHeight="1" s="39">
      <c r="D188" s="8" t="n"/>
      <c r="F188" s="11" t="n"/>
    </row>
    <row r="189" ht="15.75" customHeight="1" s="39">
      <c r="D189" s="8" t="n"/>
      <c r="F189" s="11" t="n"/>
    </row>
    <row r="190" ht="15.75" customHeight="1" s="39">
      <c r="D190" s="8" t="n"/>
      <c r="F190" s="11" t="n"/>
    </row>
    <row r="191" ht="15.75" customHeight="1" s="39">
      <c r="D191" s="8" t="n"/>
      <c r="F191" s="11" t="n"/>
    </row>
    <row r="192" ht="15.75" customHeight="1" s="39">
      <c r="D192" s="8" t="n"/>
      <c r="F192" s="11" t="n"/>
    </row>
    <row r="193" ht="15.75" customHeight="1" s="39">
      <c r="D193" s="8" t="n"/>
      <c r="F193" s="11" t="n"/>
    </row>
    <row r="194" ht="15.75" customHeight="1" s="39">
      <c r="D194" s="8" t="n"/>
      <c r="F194" s="11" t="n"/>
    </row>
    <row r="195" ht="15.75" customHeight="1" s="39">
      <c r="D195" s="8" t="n"/>
      <c r="F195" s="11" t="n"/>
    </row>
    <row r="196" ht="15.75" customHeight="1" s="39">
      <c r="D196" s="8" t="n"/>
      <c r="F196" s="11" t="n"/>
    </row>
    <row r="197" ht="15.75" customHeight="1" s="39">
      <c r="D197" s="8" t="n"/>
      <c r="F197" s="11" t="n"/>
    </row>
    <row r="198" ht="15.75" customHeight="1" s="39">
      <c r="D198" s="8" t="n"/>
      <c r="F198" s="11" t="n"/>
    </row>
    <row r="199" ht="15.75" customHeight="1" s="39">
      <c r="D199" s="8" t="n"/>
      <c r="F199" s="11" t="n"/>
    </row>
    <row r="200" ht="15.75" customHeight="1" s="39">
      <c r="D200" s="8" t="n"/>
      <c r="F200" s="11" t="n"/>
    </row>
    <row r="201" ht="15.75" customHeight="1" s="39">
      <c r="D201" s="8" t="n"/>
      <c r="F201" s="11" t="n"/>
    </row>
    <row r="202" ht="15.75" customHeight="1" s="39">
      <c r="D202" s="8" t="n"/>
      <c r="F202" s="11" t="n"/>
    </row>
    <row r="203" ht="15.75" customHeight="1" s="39">
      <c r="D203" s="8" t="n"/>
      <c r="F203" s="11" t="n"/>
    </row>
    <row r="204" ht="15.75" customHeight="1" s="39">
      <c r="D204" s="8" t="n"/>
      <c r="F204" s="11" t="n"/>
    </row>
    <row r="205" ht="15.75" customHeight="1" s="39">
      <c r="D205" s="8" t="n"/>
      <c r="F205" s="11" t="n"/>
    </row>
    <row r="206" ht="15.75" customHeight="1" s="39">
      <c r="D206" s="8" t="n"/>
      <c r="F206" s="11" t="n"/>
    </row>
    <row r="207" ht="15.75" customHeight="1" s="39">
      <c r="D207" s="8" t="n"/>
      <c r="F207" s="11" t="n"/>
    </row>
    <row r="208" ht="15.75" customHeight="1" s="39">
      <c r="D208" s="8" t="n"/>
      <c r="F208" s="11" t="n"/>
    </row>
    <row r="209" ht="15.75" customHeight="1" s="39">
      <c r="D209" s="8" t="n"/>
      <c r="F209" s="11" t="n"/>
    </row>
    <row r="210" ht="15.75" customHeight="1" s="39">
      <c r="D210" s="8" t="n"/>
      <c r="F210" s="11" t="n"/>
    </row>
    <row r="211" ht="15.75" customHeight="1" s="39">
      <c r="D211" s="8" t="n"/>
      <c r="F211" s="11" t="n"/>
    </row>
    <row r="212" ht="15.75" customHeight="1" s="39">
      <c r="D212" s="8" t="n"/>
      <c r="F212" s="11" t="n"/>
    </row>
    <row r="213" ht="15.75" customHeight="1" s="39">
      <c r="D213" s="8" t="n"/>
      <c r="F213" s="11" t="n"/>
    </row>
    <row r="214" ht="15.75" customHeight="1" s="39">
      <c r="D214" s="8" t="n"/>
      <c r="F214" s="11" t="n"/>
    </row>
    <row r="215" ht="15.75" customHeight="1" s="39">
      <c r="D215" s="8" t="n"/>
      <c r="F215" s="11" t="n"/>
    </row>
    <row r="216" ht="15.75" customHeight="1" s="39">
      <c r="D216" s="8" t="n"/>
      <c r="F216" s="11" t="n"/>
    </row>
    <row r="217" ht="15.75" customHeight="1" s="39">
      <c r="D217" s="8" t="n"/>
      <c r="F217" s="11" t="n"/>
    </row>
    <row r="218" ht="15.75" customHeight="1" s="39">
      <c r="D218" s="8" t="n"/>
      <c r="F218" s="11" t="n"/>
    </row>
    <row r="219" ht="15.75" customHeight="1" s="39">
      <c r="D219" s="8" t="n"/>
      <c r="F219" s="11" t="n"/>
    </row>
    <row r="220" ht="15.75" customHeight="1" s="39">
      <c r="D220" s="8" t="n"/>
      <c r="F220" s="11" t="n"/>
    </row>
    <row r="221" ht="15.75" customHeight="1" s="39">
      <c r="D221" s="8" t="n"/>
      <c r="F221" s="11" t="n"/>
    </row>
    <row r="222" ht="15.75" customHeight="1" s="39">
      <c r="D222" s="8" t="n"/>
      <c r="F222" s="11" t="n"/>
    </row>
    <row r="223" ht="15.75" customHeight="1" s="39">
      <c r="D223" s="8" t="n"/>
      <c r="F223" s="11" t="n"/>
    </row>
    <row r="224" ht="15.75" customHeight="1" s="39">
      <c r="D224" s="8" t="n"/>
      <c r="F224" s="11" t="n"/>
    </row>
    <row r="225" ht="15.75" customHeight="1" s="39">
      <c r="D225" s="8" t="n"/>
      <c r="F225" s="11" t="n"/>
    </row>
    <row r="226" ht="15.75" customHeight="1" s="39">
      <c r="D226" s="8" t="n"/>
      <c r="F226" s="11" t="n"/>
    </row>
    <row r="227" ht="15.75" customHeight="1" s="39">
      <c r="D227" s="8" t="n"/>
      <c r="F227" s="11" t="n"/>
    </row>
    <row r="228" ht="15.75" customHeight="1" s="39">
      <c r="D228" s="8" t="n"/>
      <c r="F228" s="11" t="n"/>
    </row>
    <row r="229" ht="15.75" customHeight="1" s="39">
      <c r="D229" s="8" t="n"/>
      <c r="F229" s="11" t="n"/>
    </row>
    <row r="230" ht="15.75" customHeight="1" s="39">
      <c r="D230" s="8" t="n"/>
      <c r="F230" s="11" t="n"/>
    </row>
    <row r="231" ht="15.75" customHeight="1" s="39">
      <c r="D231" s="8" t="n"/>
      <c r="F231" s="11" t="n"/>
    </row>
    <row r="232" ht="15.75" customHeight="1" s="39">
      <c r="D232" s="8" t="n"/>
      <c r="F232" s="11" t="n"/>
    </row>
    <row r="233" ht="15.75" customHeight="1" s="39">
      <c r="D233" s="8" t="n"/>
      <c r="F233" s="11" t="n"/>
    </row>
    <row r="234" ht="15.75" customHeight="1" s="39">
      <c r="D234" s="8" t="n"/>
      <c r="F234" s="11" t="n"/>
    </row>
    <row r="235" ht="15.75" customHeight="1" s="39">
      <c r="D235" s="8" t="n"/>
      <c r="F235" s="11" t="n"/>
    </row>
    <row r="236" ht="15.75" customHeight="1" s="39">
      <c r="D236" s="8" t="n"/>
      <c r="F236" s="11" t="n"/>
    </row>
    <row r="237" ht="15.75" customHeight="1" s="39">
      <c r="D237" s="8" t="n"/>
      <c r="F237" s="11" t="n"/>
    </row>
    <row r="238" ht="15.75" customHeight="1" s="39">
      <c r="D238" s="8" t="n"/>
      <c r="F238" s="11" t="n"/>
    </row>
    <row r="239" ht="15.75" customHeight="1" s="39">
      <c r="D239" s="8" t="n"/>
      <c r="F239" s="11" t="n"/>
    </row>
    <row r="240" ht="15.75" customHeight="1" s="39">
      <c r="D240" s="8" t="n"/>
      <c r="F240" s="11" t="n"/>
    </row>
    <row r="241" ht="15.75" customHeight="1" s="39">
      <c r="D241" s="8" t="n"/>
      <c r="F241" s="11" t="n"/>
    </row>
    <row r="242" ht="15.75" customHeight="1" s="39">
      <c r="D242" s="8" t="n"/>
      <c r="F242" s="11" t="n"/>
    </row>
    <row r="243" ht="15.75" customHeight="1" s="39">
      <c r="D243" s="8" t="n"/>
      <c r="F243" s="11" t="n"/>
    </row>
    <row r="244" ht="15.75" customHeight="1" s="39">
      <c r="D244" s="8" t="n"/>
      <c r="F244" s="11" t="n"/>
    </row>
    <row r="245" ht="15.75" customHeight="1" s="39">
      <c r="D245" s="8" t="n"/>
      <c r="F245" s="11" t="n"/>
    </row>
    <row r="246" ht="15.75" customHeight="1" s="39">
      <c r="D246" s="8" t="n"/>
      <c r="F246" s="11" t="n"/>
    </row>
    <row r="247" ht="15.75" customHeight="1" s="39">
      <c r="D247" s="8" t="n"/>
      <c r="F247" s="11" t="n"/>
    </row>
    <row r="248" ht="15.75" customHeight="1" s="39">
      <c r="D248" s="8" t="n"/>
      <c r="F248" s="11" t="n"/>
    </row>
    <row r="249" ht="15.75" customHeight="1" s="39">
      <c r="D249" s="8" t="n"/>
      <c r="F249" s="11" t="n"/>
    </row>
    <row r="250" ht="15.75" customHeight="1" s="39">
      <c r="D250" s="8" t="n"/>
      <c r="F250" s="11" t="n"/>
    </row>
    <row r="251" ht="15.75" customHeight="1" s="39">
      <c r="D251" s="8" t="n"/>
      <c r="F251" s="11" t="n"/>
    </row>
    <row r="252" ht="15.75" customHeight="1" s="39">
      <c r="D252" s="8" t="n"/>
      <c r="F252" s="11" t="n"/>
    </row>
    <row r="253" ht="15.75" customHeight="1" s="39">
      <c r="D253" s="8" t="n"/>
      <c r="F253" s="11" t="n"/>
    </row>
    <row r="254" ht="15.75" customHeight="1" s="39">
      <c r="D254" s="8" t="n"/>
      <c r="F254" s="11" t="n"/>
    </row>
    <row r="255" ht="15.75" customHeight="1" s="39">
      <c r="D255" s="8" t="n"/>
      <c r="F255" s="11" t="n"/>
    </row>
    <row r="256" ht="15.75" customHeight="1" s="39">
      <c r="D256" s="8" t="n"/>
      <c r="F256" s="11" t="n"/>
    </row>
    <row r="257" ht="15.75" customHeight="1" s="39">
      <c r="D257" s="8" t="n"/>
      <c r="F257" s="11" t="n"/>
    </row>
    <row r="258" ht="15.75" customHeight="1" s="39">
      <c r="D258" s="8" t="n"/>
      <c r="F258" s="11" t="n"/>
    </row>
    <row r="259" ht="15.75" customHeight="1" s="39">
      <c r="D259" s="8" t="n"/>
      <c r="F259" s="11" t="n"/>
    </row>
    <row r="260" ht="15.75" customHeight="1" s="39">
      <c r="D260" s="8" t="n"/>
      <c r="F260" s="11" t="n"/>
    </row>
    <row r="261" ht="15.75" customHeight="1" s="39">
      <c r="D261" s="8" t="n"/>
      <c r="F261" s="11" t="n"/>
    </row>
    <row r="262" ht="15.75" customHeight="1" s="39">
      <c r="D262" s="8" t="n"/>
      <c r="F262" s="11" t="n"/>
    </row>
    <row r="263" ht="15.75" customHeight="1" s="39">
      <c r="D263" s="8" t="n"/>
      <c r="F263" s="11" t="n"/>
    </row>
    <row r="264" ht="15.75" customHeight="1" s="39">
      <c r="D264" s="8" t="n"/>
      <c r="F264" s="11" t="n"/>
    </row>
    <row r="265" ht="15.75" customHeight="1" s="39">
      <c r="D265" s="8" t="n"/>
      <c r="F265" s="11" t="n"/>
    </row>
    <row r="266" ht="15.75" customHeight="1" s="39">
      <c r="D266" s="8" t="n"/>
      <c r="F266" s="11" t="n"/>
    </row>
    <row r="267" ht="15.75" customHeight="1" s="39">
      <c r="D267" s="8" t="n"/>
      <c r="F267" s="11" t="n"/>
    </row>
    <row r="268" ht="15.75" customHeight="1" s="39">
      <c r="D268" s="8" t="n"/>
      <c r="F268" s="11" t="n"/>
    </row>
    <row r="269" ht="15.75" customHeight="1" s="39">
      <c r="D269" s="8" t="n"/>
      <c r="F269" s="11" t="n"/>
    </row>
    <row r="270" ht="15.75" customHeight="1" s="39">
      <c r="D270" s="8" t="n"/>
      <c r="F270" s="11" t="n"/>
    </row>
    <row r="271" ht="15.75" customHeight="1" s="39">
      <c r="D271" s="8" t="n"/>
      <c r="F271" s="11" t="n"/>
    </row>
    <row r="272" ht="15.75" customHeight="1" s="39">
      <c r="D272" s="8" t="n"/>
      <c r="F272" s="11" t="n"/>
    </row>
    <row r="273" ht="15.75" customHeight="1" s="39">
      <c r="D273" s="8" t="n"/>
      <c r="F273" s="11" t="n"/>
    </row>
    <row r="274" ht="15.75" customHeight="1" s="39">
      <c r="D274" s="8" t="n"/>
      <c r="F274" s="11" t="n"/>
    </row>
    <row r="275" ht="15.75" customHeight="1" s="39">
      <c r="D275" s="8" t="n"/>
      <c r="F275" s="11" t="n"/>
    </row>
    <row r="276" ht="15.75" customHeight="1" s="39">
      <c r="D276" s="8" t="n"/>
      <c r="F276" s="11" t="n"/>
    </row>
    <row r="277" ht="15.75" customHeight="1" s="39">
      <c r="D277" s="8" t="n"/>
      <c r="F277" s="11" t="n"/>
    </row>
    <row r="278" ht="15.75" customHeight="1" s="39">
      <c r="D278" s="8" t="n"/>
      <c r="F278" s="11" t="n"/>
    </row>
    <row r="279" ht="15.75" customHeight="1" s="39">
      <c r="D279" s="8" t="n"/>
      <c r="F279" s="11" t="n"/>
    </row>
    <row r="280" ht="15.75" customHeight="1" s="39">
      <c r="D280" s="8" t="n"/>
      <c r="F280" s="11" t="n"/>
    </row>
    <row r="281" ht="15.75" customHeight="1" s="39">
      <c r="D281" s="8" t="n"/>
      <c r="F281" s="11" t="n"/>
    </row>
    <row r="282" ht="15.75" customHeight="1" s="39">
      <c r="D282" s="8" t="n"/>
      <c r="F282" s="11" t="n"/>
    </row>
    <row r="283" ht="15.75" customHeight="1" s="39">
      <c r="D283" s="8" t="n"/>
      <c r="F283" s="11" t="n"/>
    </row>
    <row r="284" ht="15.75" customHeight="1" s="39">
      <c r="D284" s="8" t="n"/>
      <c r="F284" s="11" t="n"/>
    </row>
    <row r="285" ht="15.75" customHeight="1" s="39">
      <c r="D285" s="8" t="n"/>
      <c r="F285" s="11" t="n"/>
    </row>
    <row r="286" ht="15.75" customHeight="1" s="39">
      <c r="D286" s="8" t="n"/>
      <c r="F286" s="11" t="n"/>
    </row>
    <row r="287" ht="15.75" customHeight="1" s="39">
      <c r="D287" s="8" t="n"/>
      <c r="F287" s="11" t="n"/>
    </row>
    <row r="288" ht="15.75" customHeight="1" s="39">
      <c r="D288" s="8" t="n"/>
      <c r="F288" s="11" t="n"/>
    </row>
    <row r="289" ht="15.75" customHeight="1" s="39">
      <c r="D289" s="8" t="n"/>
      <c r="F289" s="11" t="n"/>
    </row>
    <row r="290" ht="15.75" customHeight="1" s="39">
      <c r="D290" s="8" t="n"/>
      <c r="F290" s="11" t="n"/>
    </row>
    <row r="291" ht="15.75" customHeight="1" s="39">
      <c r="D291" s="8" t="n"/>
      <c r="F291" s="11" t="n"/>
    </row>
    <row r="292" ht="15.75" customHeight="1" s="39">
      <c r="D292" s="8" t="n"/>
      <c r="F292" s="11" t="n"/>
    </row>
    <row r="293" ht="15.75" customHeight="1" s="39">
      <c r="D293" s="8" t="n"/>
      <c r="F293" s="11" t="n"/>
    </row>
    <row r="294" ht="15.75" customHeight="1" s="39">
      <c r="D294" s="8" t="n"/>
      <c r="F294" s="11" t="n"/>
    </row>
    <row r="295" ht="15.75" customHeight="1" s="39">
      <c r="D295" s="8" t="n"/>
      <c r="F295" s="11" t="n"/>
    </row>
    <row r="296" ht="15.75" customHeight="1" s="39">
      <c r="D296" s="8" t="n"/>
      <c r="F296" s="11" t="n"/>
    </row>
    <row r="297" ht="15.75" customHeight="1" s="39">
      <c r="D297" s="8" t="n"/>
      <c r="F297" s="11" t="n"/>
    </row>
    <row r="298" ht="15.75" customHeight="1" s="39">
      <c r="D298" s="8" t="n"/>
      <c r="F298" s="11" t="n"/>
    </row>
    <row r="299" ht="15.75" customHeight="1" s="39">
      <c r="D299" s="8" t="n"/>
      <c r="F299" s="11" t="n"/>
    </row>
    <row r="300" ht="15.75" customHeight="1" s="39">
      <c r="D300" s="8" t="n"/>
      <c r="F300" s="11" t="n"/>
    </row>
    <row r="301" ht="15.75" customHeight="1" s="39">
      <c r="D301" s="8" t="n"/>
      <c r="F301" s="11" t="n"/>
    </row>
    <row r="302" ht="15.75" customHeight="1" s="39">
      <c r="D302" s="8" t="n"/>
      <c r="F302" s="11" t="n"/>
    </row>
    <row r="303" ht="15.75" customHeight="1" s="39">
      <c r="D303" s="8" t="n"/>
      <c r="F303" s="11" t="n"/>
    </row>
    <row r="304" ht="15.75" customHeight="1" s="39">
      <c r="D304" s="8" t="n"/>
      <c r="F304" s="11" t="n"/>
    </row>
    <row r="305" ht="15.75" customHeight="1" s="39">
      <c r="D305" s="8" t="n"/>
      <c r="F305" s="11" t="n"/>
    </row>
    <row r="306" ht="15.75" customHeight="1" s="39">
      <c r="D306" s="8" t="n"/>
      <c r="F306" s="11" t="n"/>
    </row>
    <row r="307" ht="15.75" customHeight="1" s="39">
      <c r="D307" s="8" t="n"/>
      <c r="F307" s="11" t="n"/>
    </row>
    <row r="308" ht="15.75" customHeight="1" s="39">
      <c r="D308" s="8" t="n"/>
      <c r="F308" s="11" t="n"/>
    </row>
    <row r="309" ht="15.75" customHeight="1" s="39">
      <c r="D309" s="8" t="n"/>
      <c r="F309" s="11" t="n"/>
    </row>
    <row r="310" ht="15.75" customHeight="1" s="39">
      <c r="D310" s="8" t="n"/>
      <c r="F310" s="11" t="n"/>
    </row>
    <row r="311" ht="15.75" customHeight="1" s="39">
      <c r="D311" s="8" t="n"/>
      <c r="F311" s="11" t="n"/>
    </row>
    <row r="312" ht="15.75" customHeight="1" s="39">
      <c r="D312" s="8" t="n"/>
      <c r="F312" s="11" t="n"/>
    </row>
    <row r="313" ht="15.75" customHeight="1" s="39">
      <c r="D313" s="8" t="n"/>
      <c r="F313" s="11" t="n"/>
    </row>
    <row r="314" ht="15.75" customHeight="1" s="39">
      <c r="D314" s="8" t="n"/>
      <c r="F314" s="11" t="n"/>
    </row>
    <row r="315" ht="15.75" customHeight="1" s="39">
      <c r="D315" s="8" t="n"/>
      <c r="F315" s="11" t="n"/>
    </row>
    <row r="316" ht="15.75" customHeight="1" s="39">
      <c r="D316" s="8" t="n"/>
      <c r="F316" s="11" t="n"/>
    </row>
    <row r="317" ht="15.75" customHeight="1" s="39">
      <c r="D317" s="8" t="n"/>
      <c r="F317" s="11" t="n"/>
    </row>
    <row r="318" ht="15.75" customHeight="1" s="39">
      <c r="D318" s="8" t="n"/>
      <c r="F318" s="11" t="n"/>
    </row>
    <row r="319" ht="15.75" customHeight="1" s="39">
      <c r="D319" s="8" t="n"/>
      <c r="F319" s="11" t="n"/>
    </row>
    <row r="320" ht="15.75" customHeight="1" s="39">
      <c r="D320" s="8" t="n"/>
      <c r="F320" s="11" t="n"/>
    </row>
    <row r="321" ht="15.75" customHeight="1" s="39">
      <c r="D321" s="8" t="n"/>
      <c r="F321" s="11" t="n"/>
    </row>
    <row r="322" ht="15.75" customHeight="1" s="39">
      <c r="D322" s="8" t="n"/>
      <c r="F322" s="11" t="n"/>
    </row>
    <row r="323" ht="15.75" customHeight="1" s="39">
      <c r="D323" s="8" t="n"/>
      <c r="F323" s="11" t="n"/>
    </row>
    <row r="324" ht="15.75" customHeight="1" s="39">
      <c r="D324" s="8" t="n"/>
      <c r="F324" s="11" t="n"/>
    </row>
    <row r="325" ht="15.75" customHeight="1" s="39">
      <c r="D325" s="8" t="n"/>
      <c r="F325" s="11" t="n"/>
    </row>
    <row r="326" ht="15.75" customHeight="1" s="39">
      <c r="D326" s="8" t="n"/>
      <c r="F326" s="11" t="n"/>
    </row>
    <row r="327" ht="15.75" customHeight="1" s="39">
      <c r="D327" s="8" t="n"/>
      <c r="F327" s="11" t="n"/>
    </row>
    <row r="328" ht="15.75" customHeight="1" s="39">
      <c r="D328" s="8" t="n"/>
      <c r="F328" s="11" t="n"/>
    </row>
    <row r="329" ht="15.75" customHeight="1" s="39">
      <c r="D329" s="8" t="n"/>
      <c r="F329" s="11" t="n"/>
    </row>
    <row r="330" ht="15.75" customHeight="1" s="39">
      <c r="D330" s="8" t="n"/>
      <c r="F330" s="11" t="n"/>
    </row>
    <row r="331" ht="15.75" customHeight="1" s="39">
      <c r="D331" s="8" t="n"/>
      <c r="F331" s="11" t="n"/>
    </row>
    <row r="332" ht="15.75" customHeight="1" s="39">
      <c r="D332" s="8" t="n"/>
      <c r="F332" s="11" t="n"/>
    </row>
    <row r="333" ht="15.75" customHeight="1" s="39">
      <c r="D333" s="8" t="n"/>
      <c r="F333" s="11" t="n"/>
    </row>
    <row r="334" ht="15.75" customHeight="1" s="39">
      <c r="D334" s="8" t="n"/>
      <c r="F334" s="11" t="n"/>
    </row>
    <row r="335" ht="15.75" customHeight="1" s="39">
      <c r="D335" s="8" t="n"/>
      <c r="F335" s="11" t="n"/>
    </row>
    <row r="336" ht="15.75" customHeight="1" s="39">
      <c r="D336" s="8" t="n"/>
      <c r="F336" s="11" t="n"/>
    </row>
    <row r="337" ht="15.75" customHeight="1" s="39">
      <c r="D337" s="8" t="n"/>
      <c r="F337" s="11" t="n"/>
    </row>
    <row r="338" ht="15.75" customHeight="1" s="39">
      <c r="D338" s="8" t="n"/>
      <c r="F338" s="11" t="n"/>
    </row>
    <row r="339" ht="15.75" customHeight="1" s="39">
      <c r="D339" s="8" t="n"/>
      <c r="F339" s="11" t="n"/>
    </row>
    <row r="340" ht="15.75" customHeight="1" s="39">
      <c r="D340" s="8" t="n"/>
      <c r="F340" s="11" t="n"/>
    </row>
    <row r="341" ht="15.75" customHeight="1" s="39">
      <c r="D341" s="8" t="n"/>
      <c r="F341" s="11" t="n"/>
    </row>
    <row r="342" ht="15.75" customHeight="1" s="39">
      <c r="D342" s="8" t="n"/>
      <c r="F342" s="11" t="n"/>
    </row>
    <row r="343" ht="15.75" customHeight="1" s="39">
      <c r="D343" s="8" t="n"/>
      <c r="F343" s="11" t="n"/>
    </row>
    <row r="344" ht="15.75" customHeight="1" s="39">
      <c r="D344" s="8" t="n"/>
      <c r="F344" s="11" t="n"/>
    </row>
    <row r="345" ht="15.75" customHeight="1" s="39">
      <c r="D345" s="8" t="n"/>
      <c r="F345" s="11" t="n"/>
    </row>
    <row r="346" ht="15.75" customHeight="1" s="39">
      <c r="D346" s="8" t="n"/>
      <c r="F346" s="11" t="n"/>
    </row>
    <row r="347" ht="15.75" customHeight="1" s="39">
      <c r="D347" s="8" t="n"/>
      <c r="F347" s="11" t="n"/>
    </row>
    <row r="348" ht="15.75" customHeight="1" s="39">
      <c r="D348" s="8" t="n"/>
      <c r="F348" s="11" t="n"/>
    </row>
    <row r="349" ht="15.75" customHeight="1" s="39">
      <c r="D349" s="8" t="n"/>
      <c r="F349" s="11" t="n"/>
    </row>
    <row r="350" ht="15.75" customHeight="1" s="39">
      <c r="D350" s="8" t="n"/>
      <c r="F350" s="11" t="n"/>
    </row>
    <row r="351" ht="15.75" customHeight="1" s="39">
      <c r="D351" s="8" t="n"/>
      <c r="F351" s="11" t="n"/>
    </row>
    <row r="352" ht="15.75" customHeight="1" s="39">
      <c r="D352" s="8" t="n"/>
      <c r="F352" s="11" t="n"/>
    </row>
    <row r="353" ht="15.75" customHeight="1" s="39">
      <c r="D353" s="8" t="n"/>
      <c r="F353" s="11" t="n"/>
    </row>
    <row r="354" ht="15.75" customHeight="1" s="39">
      <c r="D354" s="8" t="n"/>
      <c r="F354" s="11" t="n"/>
    </row>
    <row r="355" ht="15.75" customHeight="1" s="39">
      <c r="D355" s="8" t="n"/>
      <c r="F355" s="11" t="n"/>
    </row>
    <row r="356" ht="15.75" customHeight="1" s="39">
      <c r="D356" s="8" t="n"/>
      <c r="F356" s="11" t="n"/>
    </row>
    <row r="357" ht="15.75" customHeight="1" s="39">
      <c r="D357" s="8" t="n"/>
      <c r="F357" s="11" t="n"/>
    </row>
    <row r="358" ht="15.75" customHeight="1" s="39">
      <c r="D358" s="8" t="n"/>
      <c r="F358" s="11" t="n"/>
    </row>
    <row r="359" ht="15.75" customHeight="1" s="39">
      <c r="D359" s="8" t="n"/>
      <c r="F359" s="11" t="n"/>
    </row>
    <row r="360" ht="15.75" customHeight="1" s="39">
      <c r="D360" s="8" t="n"/>
      <c r="F360" s="11" t="n"/>
    </row>
    <row r="361" ht="15.75" customHeight="1" s="39">
      <c r="D361" s="8" t="n"/>
      <c r="F361" s="11" t="n"/>
    </row>
    <row r="362" ht="15.75" customHeight="1" s="39">
      <c r="D362" s="8" t="n"/>
      <c r="F362" s="11" t="n"/>
    </row>
    <row r="363" ht="15.75" customHeight="1" s="39">
      <c r="D363" s="8" t="n"/>
      <c r="F363" s="11" t="n"/>
    </row>
    <row r="364" ht="15.75" customHeight="1" s="39">
      <c r="D364" s="8" t="n"/>
      <c r="F364" s="11" t="n"/>
    </row>
    <row r="365" ht="15.75" customHeight="1" s="39">
      <c r="D365" s="8" t="n"/>
      <c r="F365" s="11" t="n"/>
    </row>
    <row r="366" ht="15.75" customHeight="1" s="39">
      <c r="D366" s="8" t="n"/>
      <c r="F366" s="11" t="n"/>
    </row>
    <row r="367" ht="15.75" customHeight="1" s="39">
      <c r="D367" s="8" t="n"/>
      <c r="F367" s="11" t="n"/>
    </row>
    <row r="368" ht="15.75" customHeight="1" s="39">
      <c r="D368" s="8" t="n"/>
      <c r="F368" s="11" t="n"/>
    </row>
    <row r="369" ht="15.75" customHeight="1" s="39">
      <c r="D369" s="8" t="n"/>
      <c r="F369" s="11" t="n"/>
    </row>
    <row r="370" ht="15.75" customHeight="1" s="39">
      <c r="D370" s="8" t="n"/>
      <c r="F370" s="11" t="n"/>
    </row>
    <row r="371" ht="15.75" customHeight="1" s="39">
      <c r="D371" s="8" t="n"/>
      <c r="F371" s="11" t="n"/>
    </row>
    <row r="372" ht="15.75" customHeight="1" s="39">
      <c r="D372" s="8" t="n"/>
      <c r="F372" s="11" t="n"/>
    </row>
    <row r="373" ht="15.75" customHeight="1" s="39">
      <c r="D373" s="8" t="n"/>
      <c r="F373" s="11" t="n"/>
    </row>
    <row r="374" ht="15.75" customHeight="1" s="39">
      <c r="D374" s="8" t="n"/>
      <c r="F374" s="11" t="n"/>
    </row>
    <row r="375" ht="15.75" customHeight="1" s="39">
      <c r="D375" s="8" t="n"/>
      <c r="F375" s="11" t="n"/>
    </row>
    <row r="376" ht="15.75" customHeight="1" s="39">
      <c r="D376" s="8" t="n"/>
      <c r="F376" s="11" t="n"/>
    </row>
    <row r="377" ht="15.75" customHeight="1" s="39">
      <c r="D377" s="8" t="n"/>
      <c r="F377" s="11" t="n"/>
    </row>
    <row r="378" ht="15.75" customHeight="1" s="39">
      <c r="D378" s="8" t="n"/>
      <c r="F378" s="11" t="n"/>
    </row>
    <row r="379" ht="15.75" customHeight="1" s="39">
      <c r="D379" s="8" t="n"/>
      <c r="F379" s="11" t="n"/>
    </row>
    <row r="380" ht="15.75" customHeight="1" s="39">
      <c r="D380" s="8" t="n"/>
      <c r="F380" s="11" t="n"/>
    </row>
    <row r="381" ht="15.75" customHeight="1" s="39">
      <c r="D381" s="8" t="n"/>
      <c r="F381" s="11" t="n"/>
    </row>
    <row r="382" ht="15.75" customHeight="1" s="39">
      <c r="D382" s="8" t="n"/>
      <c r="F382" s="11" t="n"/>
    </row>
    <row r="383" ht="15.75" customHeight="1" s="39">
      <c r="D383" s="8" t="n"/>
      <c r="F383" s="11" t="n"/>
    </row>
    <row r="384" ht="15.75" customHeight="1" s="39">
      <c r="D384" s="8" t="n"/>
      <c r="F384" s="11" t="n"/>
    </row>
    <row r="385" ht="15.75" customHeight="1" s="39">
      <c r="D385" s="8" t="n"/>
      <c r="F385" s="11" t="n"/>
    </row>
    <row r="386" ht="15.75" customHeight="1" s="39">
      <c r="D386" s="8" t="n"/>
      <c r="F386" s="11" t="n"/>
    </row>
    <row r="387" ht="15.75" customHeight="1" s="39">
      <c r="D387" s="8" t="n"/>
      <c r="F387" s="11" t="n"/>
    </row>
    <row r="388" ht="15.75" customHeight="1" s="39">
      <c r="D388" s="8" t="n"/>
      <c r="F388" s="11" t="n"/>
    </row>
    <row r="389" ht="15.75" customHeight="1" s="39">
      <c r="D389" s="8" t="n"/>
      <c r="F389" s="11" t="n"/>
    </row>
    <row r="390" ht="15.75" customHeight="1" s="39">
      <c r="D390" s="8" t="n"/>
      <c r="F390" s="11" t="n"/>
    </row>
    <row r="391" ht="15.75" customHeight="1" s="39">
      <c r="D391" s="8" t="n"/>
      <c r="F391" s="11" t="n"/>
    </row>
    <row r="392" ht="15.75" customHeight="1" s="39">
      <c r="D392" s="8" t="n"/>
      <c r="F392" s="11" t="n"/>
    </row>
    <row r="393" ht="15.75" customHeight="1" s="39">
      <c r="D393" s="8" t="n"/>
      <c r="F393" s="11" t="n"/>
    </row>
    <row r="394" ht="15.75" customHeight="1" s="39">
      <c r="D394" s="8" t="n"/>
      <c r="F394" s="11" t="n"/>
    </row>
    <row r="395" ht="15.75" customHeight="1" s="39">
      <c r="D395" s="8" t="n"/>
      <c r="F395" s="11" t="n"/>
    </row>
    <row r="396" ht="15.75" customHeight="1" s="39">
      <c r="D396" s="8" t="n"/>
      <c r="F396" s="11" t="n"/>
    </row>
    <row r="397" ht="15.75" customHeight="1" s="39">
      <c r="D397" s="8" t="n"/>
      <c r="F397" s="11" t="n"/>
    </row>
    <row r="398" ht="15.75" customHeight="1" s="39">
      <c r="D398" s="8" t="n"/>
      <c r="F398" s="11" t="n"/>
    </row>
    <row r="399" ht="15.75" customHeight="1" s="39">
      <c r="D399" s="8" t="n"/>
      <c r="F399" s="11" t="n"/>
    </row>
    <row r="400" ht="15.75" customHeight="1" s="39">
      <c r="D400" s="8" t="n"/>
      <c r="F400" s="11" t="n"/>
    </row>
    <row r="401" ht="15.75" customHeight="1" s="39">
      <c r="D401" s="8" t="n"/>
      <c r="F401" s="11" t="n"/>
    </row>
    <row r="402" ht="15.75" customHeight="1" s="39">
      <c r="D402" s="8" t="n"/>
      <c r="F402" s="11" t="n"/>
    </row>
    <row r="403" ht="15.75" customHeight="1" s="39">
      <c r="D403" s="8" t="n"/>
      <c r="F403" s="11" t="n"/>
    </row>
    <row r="404" ht="15.75" customHeight="1" s="39">
      <c r="D404" s="8" t="n"/>
      <c r="F404" s="11" t="n"/>
    </row>
    <row r="405" ht="15.75" customHeight="1" s="39">
      <c r="D405" s="8" t="n"/>
      <c r="F405" s="11" t="n"/>
    </row>
    <row r="406" ht="15.75" customHeight="1" s="39">
      <c r="D406" s="8" t="n"/>
      <c r="F406" s="11" t="n"/>
    </row>
    <row r="407" ht="15.75" customHeight="1" s="39">
      <c r="D407" s="8" t="n"/>
      <c r="F407" s="11" t="n"/>
    </row>
    <row r="408" ht="15.75" customHeight="1" s="39">
      <c r="D408" s="8" t="n"/>
      <c r="F408" s="11" t="n"/>
    </row>
    <row r="409" ht="15.75" customHeight="1" s="39">
      <c r="D409" s="8" t="n"/>
      <c r="F409" s="11" t="n"/>
    </row>
    <row r="410" ht="15.75" customHeight="1" s="39">
      <c r="D410" s="8" t="n"/>
      <c r="F410" s="11" t="n"/>
    </row>
    <row r="411" ht="15.75" customHeight="1" s="39">
      <c r="D411" s="8" t="n"/>
      <c r="F411" s="11" t="n"/>
    </row>
    <row r="412" ht="15.75" customHeight="1" s="39">
      <c r="D412" s="8" t="n"/>
      <c r="F412" s="11" t="n"/>
    </row>
    <row r="413" ht="15.75" customHeight="1" s="39">
      <c r="D413" s="8" t="n"/>
      <c r="F413" s="11" t="n"/>
    </row>
    <row r="414" ht="15.75" customHeight="1" s="39">
      <c r="D414" s="8" t="n"/>
      <c r="F414" s="11" t="n"/>
    </row>
    <row r="415" ht="15.75" customHeight="1" s="39">
      <c r="D415" s="8" t="n"/>
      <c r="F415" s="11" t="n"/>
    </row>
    <row r="416" ht="15.75" customHeight="1" s="39">
      <c r="D416" s="8" t="n"/>
      <c r="F416" s="11" t="n"/>
    </row>
    <row r="417" ht="15.75" customHeight="1" s="39">
      <c r="D417" s="8" t="n"/>
      <c r="F417" s="11" t="n"/>
    </row>
    <row r="418" ht="15.75" customHeight="1" s="39">
      <c r="D418" s="8" t="n"/>
      <c r="F418" s="11" t="n"/>
    </row>
    <row r="419" ht="15.75" customHeight="1" s="39">
      <c r="D419" s="8" t="n"/>
      <c r="F419" s="11" t="n"/>
    </row>
    <row r="420" ht="15.75" customHeight="1" s="39">
      <c r="D420" s="8" t="n"/>
      <c r="F420" s="11" t="n"/>
    </row>
    <row r="421" ht="15.75" customHeight="1" s="39">
      <c r="D421" s="8" t="n"/>
      <c r="F421" s="11" t="n"/>
    </row>
    <row r="422" ht="15.75" customHeight="1" s="39">
      <c r="D422" s="8" t="n"/>
      <c r="F422" s="11" t="n"/>
    </row>
    <row r="423" ht="15.75" customHeight="1" s="39">
      <c r="D423" s="8" t="n"/>
      <c r="F423" s="11" t="n"/>
    </row>
    <row r="424" ht="15.75" customHeight="1" s="39">
      <c r="D424" s="8" t="n"/>
      <c r="F424" s="11" t="n"/>
    </row>
    <row r="425" ht="15.75" customHeight="1" s="39">
      <c r="D425" s="8" t="n"/>
      <c r="F425" s="11" t="n"/>
    </row>
    <row r="426" ht="15.75" customHeight="1" s="39">
      <c r="D426" s="8" t="n"/>
      <c r="F426" s="11" t="n"/>
    </row>
    <row r="427" ht="15.75" customHeight="1" s="39">
      <c r="D427" s="8" t="n"/>
      <c r="F427" s="11" t="n"/>
    </row>
    <row r="428" ht="15.75" customHeight="1" s="39">
      <c r="D428" s="8" t="n"/>
      <c r="F428" s="11" t="n"/>
    </row>
    <row r="429" ht="15.75" customHeight="1" s="39">
      <c r="D429" s="8" t="n"/>
      <c r="F429" s="11" t="n"/>
    </row>
    <row r="430" ht="15.75" customHeight="1" s="39">
      <c r="D430" s="8" t="n"/>
      <c r="F430" s="11" t="n"/>
    </row>
    <row r="431" ht="15.75" customHeight="1" s="39">
      <c r="D431" s="8" t="n"/>
      <c r="F431" s="11" t="n"/>
    </row>
    <row r="432" ht="15.75" customHeight="1" s="39">
      <c r="D432" s="8" t="n"/>
      <c r="F432" s="11" t="n"/>
    </row>
    <row r="433" ht="15.75" customHeight="1" s="39">
      <c r="D433" s="8" t="n"/>
      <c r="F433" s="11" t="n"/>
    </row>
    <row r="434" ht="15.75" customHeight="1" s="39">
      <c r="D434" s="8" t="n"/>
      <c r="F434" s="11" t="n"/>
    </row>
    <row r="435" ht="15.75" customHeight="1" s="39">
      <c r="D435" s="8" t="n"/>
      <c r="F435" s="11" t="n"/>
    </row>
    <row r="436" ht="15.75" customHeight="1" s="39">
      <c r="D436" s="8" t="n"/>
      <c r="F436" s="11" t="n"/>
    </row>
    <row r="437" ht="15.75" customHeight="1" s="39">
      <c r="D437" s="8" t="n"/>
      <c r="F437" s="11" t="n"/>
    </row>
    <row r="438" ht="15.75" customHeight="1" s="39">
      <c r="D438" s="8" t="n"/>
      <c r="F438" s="11" t="n"/>
    </row>
    <row r="439" ht="15.75" customHeight="1" s="39">
      <c r="D439" s="8" t="n"/>
      <c r="F439" s="11" t="n"/>
    </row>
    <row r="440" ht="15.75" customHeight="1" s="39">
      <c r="D440" s="8" t="n"/>
      <c r="F440" s="11" t="n"/>
    </row>
    <row r="441" ht="15.75" customHeight="1" s="39">
      <c r="D441" s="8" t="n"/>
      <c r="F441" s="11" t="n"/>
    </row>
    <row r="442" ht="15.75" customHeight="1" s="39">
      <c r="D442" s="8" t="n"/>
      <c r="F442" s="11" t="n"/>
    </row>
    <row r="443" ht="15.75" customHeight="1" s="39">
      <c r="D443" s="8" t="n"/>
      <c r="F443" s="11" t="n"/>
    </row>
    <row r="444" ht="15.75" customHeight="1" s="39">
      <c r="D444" s="8" t="n"/>
      <c r="F444" s="11" t="n"/>
    </row>
    <row r="445" ht="15.75" customHeight="1" s="39">
      <c r="D445" s="8" t="n"/>
      <c r="F445" s="11" t="n"/>
    </row>
    <row r="446" ht="15.75" customHeight="1" s="39">
      <c r="D446" s="8" t="n"/>
      <c r="F446" s="11" t="n"/>
    </row>
    <row r="447" ht="15.75" customHeight="1" s="39">
      <c r="D447" s="8" t="n"/>
      <c r="F447" s="11" t="n"/>
    </row>
    <row r="448" ht="15.75" customHeight="1" s="39">
      <c r="D448" s="8" t="n"/>
      <c r="F448" s="11" t="n"/>
    </row>
    <row r="449" ht="15.75" customHeight="1" s="39">
      <c r="D449" s="8" t="n"/>
      <c r="F449" s="11" t="n"/>
    </row>
    <row r="450" ht="15.75" customHeight="1" s="39">
      <c r="D450" s="8" t="n"/>
      <c r="F450" s="11" t="n"/>
    </row>
    <row r="451" ht="15.75" customHeight="1" s="39">
      <c r="D451" s="8" t="n"/>
      <c r="F451" s="11" t="n"/>
    </row>
    <row r="452" ht="15.75" customHeight="1" s="39">
      <c r="D452" s="8" t="n"/>
      <c r="F452" s="11" t="n"/>
    </row>
    <row r="453" ht="15.75" customHeight="1" s="39">
      <c r="D453" s="8" t="n"/>
      <c r="F453" s="11" t="n"/>
    </row>
    <row r="454" ht="15.75" customHeight="1" s="39">
      <c r="D454" s="8" t="n"/>
      <c r="F454" s="11" t="n"/>
    </row>
    <row r="455" ht="15.75" customHeight="1" s="39">
      <c r="D455" s="8" t="n"/>
      <c r="F455" s="11" t="n"/>
    </row>
    <row r="456" ht="15.75" customHeight="1" s="39">
      <c r="D456" s="8" t="n"/>
      <c r="F456" s="11" t="n"/>
    </row>
    <row r="457" ht="15.75" customHeight="1" s="39">
      <c r="D457" s="8" t="n"/>
      <c r="F457" s="11" t="n"/>
    </row>
    <row r="458" ht="15.75" customHeight="1" s="39">
      <c r="D458" s="8" t="n"/>
      <c r="F458" s="11" t="n"/>
    </row>
    <row r="459" ht="15.75" customHeight="1" s="39">
      <c r="D459" s="8" t="n"/>
      <c r="F459" s="11" t="n"/>
    </row>
    <row r="460" ht="15.75" customHeight="1" s="39">
      <c r="D460" s="8" t="n"/>
      <c r="F460" s="11" t="n"/>
    </row>
    <row r="461" ht="15.75" customHeight="1" s="39">
      <c r="D461" s="8" t="n"/>
      <c r="F461" s="11" t="n"/>
    </row>
    <row r="462" ht="15.75" customHeight="1" s="39">
      <c r="D462" s="8" t="n"/>
      <c r="F462" s="11" t="n"/>
    </row>
    <row r="463" ht="15.75" customHeight="1" s="39">
      <c r="D463" s="8" t="n"/>
      <c r="F463" s="11" t="n"/>
    </row>
    <row r="464" ht="15.75" customHeight="1" s="39">
      <c r="D464" s="8" t="n"/>
      <c r="F464" s="11" t="n"/>
    </row>
    <row r="465" ht="15.75" customHeight="1" s="39">
      <c r="D465" s="8" t="n"/>
      <c r="F465" s="11" t="n"/>
    </row>
    <row r="466" ht="15.75" customHeight="1" s="39">
      <c r="D466" s="8" t="n"/>
      <c r="F466" s="11" t="n"/>
    </row>
    <row r="467" ht="15.75" customHeight="1" s="39">
      <c r="D467" s="8" t="n"/>
      <c r="F467" s="11" t="n"/>
    </row>
    <row r="468" ht="15.75" customHeight="1" s="39">
      <c r="D468" s="8" t="n"/>
      <c r="F468" s="11" t="n"/>
    </row>
    <row r="469" ht="15.75" customHeight="1" s="39">
      <c r="D469" s="8" t="n"/>
      <c r="F469" s="11" t="n"/>
    </row>
    <row r="470" ht="15.75" customHeight="1" s="39">
      <c r="D470" s="8" t="n"/>
      <c r="F470" s="11" t="n"/>
    </row>
    <row r="471" ht="15.75" customHeight="1" s="39">
      <c r="D471" s="8" t="n"/>
      <c r="F471" s="11" t="n"/>
    </row>
    <row r="472" ht="15.75" customHeight="1" s="39">
      <c r="D472" s="8" t="n"/>
      <c r="F472" s="11" t="n"/>
    </row>
    <row r="473" ht="15.75" customHeight="1" s="39">
      <c r="D473" s="8" t="n"/>
      <c r="F473" s="11" t="n"/>
    </row>
    <row r="474" ht="15.75" customHeight="1" s="39">
      <c r="D474" s="8" t="n"/>
      <c r="F474" s="11" t="n"/>
    </row>
    <row r="475" ht="15.75" customHeight="1" s="39">
      <c r="D475" s="8" t="n"/>
      <c r="F475" s="11" t="n"/>
    </row>
    <row r="476" ht="15.75" customHeight="1" s="39">
      <c r="D476" s="8" t="n"/>
      <c r="F476" s="11" t="n"/>
    </row>
    <row r="477" ht="15.75" customHeight="1" s="39">
      <c r="D477" s="8" t="n"/>
      <c r="F477" s="11" t="n"/>
    </row>
    <row r="478" ht="15.75" customHeight="1" s="39">
      <c r="D478" s="8" t="n"/>
      <c r="F478" s="11" t="n"/>
    </row>
    <row r="479" ht="15.75" customHeight="1" s="39">
      <c r="D479" s="8" t="n"/>
      <c r="F479" s="11" t="n"/>
    </row>
    <row r="480" ht="15.75" customHeight="1" s="39">
      <c r="D480" s="8" t="n"/>
      <c r="F480" s="11" t="n"/>
    </row>
    <row r="481" ht="15.75" customHeight="1" s="39">
      <c r="D481" s="8" t="n"/>
      <c r="F481" s="11" t="n"/>
    </row>
    <row r="482" ht="15.75" customHeight="1" s="39">
      <c r="D482" s="8" t="n"/>
      <c r="F482" s="11" t="n"/>
    </row>
    <row r="483" ht="15.75" customHeight="1" s="39">
      <c r="D483" s="8" t="n"/>
      <c r="F483" s="11" t="n"/>
    </row>
    <row r="484" ht="15.75" customHeight="1" s="39">
      <c r="D484" s="8" t="n"/>
      <c r="F484" s="11" t="n"/>
    </row>
    <row r="485" ht="15.75" customHeight="1" s="39">
      <c r="D485" s="8" t="n"/>
      <c r="F485" s="11" t="n"/>
    </row>
    <row r="486" ht="15.75" customHeight="1" s="39">
      <c r="D486" s="8" t="n"/>
      <c r="F486" s="11" t="n"/>
    </row>
    <row r="487" ht="15.75" customHeight="1" s="39">
      <c r="D487" s="8" t="n"/>
      <c r="F487" s="11" t="n"/>
    </row>
    <row r="488" ht="15.75" customHeight="1" s="39">
      <c r="D488" s="8" t="n"/>
      <c r="F488" s="11" t="n"/>
    </row>
    <row r="489" ht="15.75" customHeight="1" s="39">
      <c r="D489" s="8" t="n"/>
      <c r="F489" s="11" t="n"/>
    </row>
    <row r="490" ht="15.75" customHeight="1" s="39">
      <c r="D490" s="8" t="n"/>
      <c r="F490" s="11" t="n"/>
    </row>
    <row r="491" ht="15.75" customHeight="1" s="39">
      <c r="D491" s="8" t="n"/>
      <c r="F491" s="11" t="n"/>
    </row>
    <row r="492" ht="15.75" customHeight="1" s="39">
      <c r="D492" s="8" t="n"/>
      <c r="F492" s="11" t="n"/>
    </row>
    <row r="493" ht="15.75" customHeight="1" s="39">
      <c r="D493" s="8" t="n"/>
      <c r="F493" s="11" t="n"/>
    </row>
    <row r="494" ht="15.75" customHeight="1" s="39">
      <c r="D494" s="8" t="n"/>
      <c r="F494" s="11" t="n"/>
    </row>
    <row r="495" ht="15.75" customHeight="1" s="39">
      <c r="D495" s="8" t="n"/>
      <c r="F495" s="11" t="n"/>
    </row>
    <row r="496" ht="15.75" customHeight="1" s="39">
      <c r="D496" s="8" t="n"/>
      <c r="F496" s="11" t="n"/>
    </row>
    <row r="497" ht="15.75" customHeight="1" s="39">
      <c r="D497" s="8" t="n"/>
      <c r="F497" s="11" t="n"/>
    </row>
    <row r="498" ht="15.75" customHeight="1" s="39">
      <c r="D498" s="8" t="n"/>
      <c r="F498" s="11" t="n"/>
    </row>
    <row r="499" ht="15.75" customHeight="1" s="39">
      <c r="D499" s="8" t="n"/>
      <c r="F499" s="11" t="n"/>
    </row>
    <row r="500" ht="15.75" customHeight="1" s="39">
      <c r="D500" s="8" t="n"/>
      <c r="F500" s="11" t="n"/>
    </row>
    <row r="501" ht="15.75" customHeight="1" s="39">
      <c r="D501" s="8" t="n"/>
      <c r="F501" s="11" t="n"/>
    </row>
    <row r="502" ht="15.75" customHeight="1" s="39">
      <c r="D502" s="8" t="n"/>
      <c r="F502" s="11" t="n"/>
    </row>
    <row r="503" ht="15.75" customHeight="1" s="39">
      <c r="D503" s="8" t="n"/>
      <c r="F503" s="11" t="n"/>
    </row>
    <row r="504" ht="15.75" customHeight="1" s="39">
      <c r="D504" s="8" t="n"/>
      <c r="F504" s="11" t="n"/>
    </row>
    <row r="505" ht="15.75" customHeight="1" s="39">
      <c r="D505" s="8" t="n"/>
      <c r="F505" s="11" t="n"/>
    </row>
    <row r="506" ht="15.75" customHeight="1" s="39">
      <c r="D506" s="8" t="n"/>
      <c r="F506" s="11" t="n"/>
    </row>
    <row r="507" ht="15.75" customHeight="1" s="39">
      <c r="D507" s="8" t="n"/>
      <c r="F507" s="11" t="n"/>
    </row>
    <row r="508" ht="15.75" customHeight="1" s="39">
      <c r="D508" s="8" t="n"/>
      <c r="F508" s="11" t="n"/>
    </row>
    <row r="509" ht="15.75" customHeight="1" s="39">
      <c r="D509" s="8" t="n"/>
      <c r="F509" s="11" t="n"/>
    </row>
    <row r="510" ht="15.75" customHeight="1" s="39">
      <c r="D510" s="8" t="n"/>
      <c r="F510" s="11" t="n"/>
    </row>
    <row r="511" ht="15.75" customHeight="1" s="39">
      <c r="D511" s="8" t="n"/>
      <c r="F511" s="11" t="n"/>
    </row>
    <row r="512" ht="15.75" customHeight="1" s="39">
      <c r="D512" s="8" t="n"/>
      <c r="F512" s="11" t="n"/>
    </row>
    <row r="513" ht="15.75" customHeight="1" s="39">
      <c r="D513" s="8" t="n"/>
      <c r="F513" s="11" t="n"/>
    </row>
    <row r="514" ht="15.75" customHeight="1" s="39">
      <c r="D514" s="8" t="n"/>
      <c r="F514" s="11" t="n"/>
    </row>
    <row r="515" ht="15.75" customHeight="1" s="39">
      <c r="D515" s="8" t="n"/>
      <c r="F515" s="11" t="n"/>
    </row>
    <row r="516" ht="15.75" customHeight="1" s="39">
      <c r="D516" s="8" t="n"/>
      <c r="F516" s="11" t="n"/>
    </row>
    <row r="517" ht="15.75" customHeight="1" s="39">
      <c r="D517" s="8" t="n"/>
      <c r="F517" s="11" t="n"/>
    </row>
    <row r="518" ht="15.75" customHeight="1" s="39">
      <c r="D518" s="8" t="n"/>
      <c r="F518" s="11" t="n"/>
    </row>
    <row r="519" ht="15.75" customHeight="1" s="39">
      <c r="D519" s="8" t="n"/>
      <c r="F519" s="11" t="n"/>
    </row>
    <row r="520" ht="15.75" customHeight="1" s="39">
      <c r="D520" s="8" t="n"/>
      <c r="F520" s="11" t="n"/>
    </row>
    <row r="521" ht="15.75" customHeight="1" s="39">
      <c r="D521" s="8" t="n"/>
      <c r="F521" s="11" t="n"/>
    </row>
    <row r="522" ht="15.75" customHeight="1" s="39">
      <c r="D522" s="8" t="n"/>
      <c r="F522" s="11" t="n"/>
    </row>
    <row r="523" ht="15.75" customHeight="1" s="39">
      <c r="D523" s="8" t="n"/>
      <c r="F523" s="11" t="n"/>
    </row>
    <row r="524" ht="15.75" customHeight="1" s="39">
      <c r="D524" s="8" t="n"/>
      <c r="F524" s="11" t="n"/>
    </row>
    <row r="525" ht="15.75" customHeight="1" s="39">
      <c r="D525" s="8" t="n"/>
      <c r="F525" s="11" t="n"/>
    </row>
    <row r="526" ht="15.75" customHeight="1" s="39">
      <c r="D526" s="8" t="n"/>
      <c r="F526" s="11" t="n"/>
    </row>
    <row r="527" ht="15.75" customHeight="1" s="39">
      <c r="D527" s="8" t="n"/>
      <c r="F527" s="11" t="n"/>
    </row>
    <row r="528" ht="15.75" customHeight="1" s="39">
      <c r="D528" s="8" t="n"/>
      <c r="F528" s="11" t="n"/>
    </row>
    <row r="529" ht="15.75" customHeight="1" s="39">
      <c r="D529" s="8" t="n"/>
      <c r="F529" s="11" t="n"/>
    </row>
    <row r="530" ht="15.75" customHeight="1" s="39">
      <c r="D530" s="8" t="n"/>
      <c r="F530" s="11" t="n"/>
    </row>
    <row r="531" ht="15.75" customHeight="1" s="39">
      <c r="D531" s="8" t="n"/>
      <c r="F531" s="11" t="n"/>
    </row>
    <row r="532" ht="15.75" customHeight="1" s="39">
      <c r="D532" s="8" t="n"/>
      <c r="F532" s="11" t="n"/>
    </row>
    <row r="533" ht="15.75" customHeight="1" s="39">
      <c r="D533" s="8" t="n"/>
      <c r="F533" s="11" t="n"/>
    </row>
    <row r="534" ht="15.75" customHeight="1" s="39">
      <c r="D534" s="8" t="n"/>
      <c r="F534" s="11" t="n"/>
    </row>
    <row r="535" ht="15.75" customHeight="1" s="39">
      <c r="D535" s="8" t="n"/>
      <c r="F535" s="11" t="n"/>
    </row>
    <row r="536" ht="15.75" customHeight="1" s="39">
      <c r="D536" s="8" t="n"/>
      <c r="F536" s="11" t="n"/>
    </row>
    <row r="537" ht="15.75" customHeight="1" s="39">
      <c r="D537" s="8" t="n"/>
      <c r="F537" s="11" t="n"/>
    </row>
    <row r="538" ht="15.75" customHeight="1" s="39">
      <c r="D538" s="8" t="n"/>
      <c r="F538" s="11" t="n"/>
    </row>
    <row r="539" ht="15.75" customHeight="1" s="39">
      <c r="D539" s="8" t="n"/>
      <c r="F539" s="11" t="n"/>
    </row>
    <row r="540" ht="15.75" customHeight="1" s="39">
      <c r="D540" s="8" t="n"/>
      <c r="F540" s="11" t="n"/>
    </row>
    <row r="541" ht="15.75" customHeight="1" s="39">
      <c r="D541" s="8" t="n"/>
      <c r="F541" s="11" t="n"/>
    </row>
    <row r="542" ht="15.75" customHeight="1" s="39">
      <c r="D542" s="8" t="n"/>
      <c r="F542" s="11" t="n"/>
    </row>
    <row r="543" ht="15.75" customHeight="1" s="39">
      <c r="D543" s="8" t="n"/>
      <c r="F543" s="11" t="n"/>
    </row>
    <row r="544" ht="15.75" customHeight="1" s="39">
      <c r="D544" s="8" t="n"/>
      <c r="F544" s="11" t="n"/>
    </row>
    <row r="545" ht="15.75" customHeight="1" s="39">
      <c r="D545" s="8" t="n"/>
      <c r="F545" s="11" t="n"/>
    </row>
    <row r="546" ht="15.75" customHeight="1" s="39">
      <c r="D546" s="8" t="n"/>
      <c r="F546" s="11" t="n"/>
    </row>
    <row r="547" ht="15.75" customHeight="1" s="39">
      <c r="D547" s="8" t="n"/>
      <c r="F547" s="11" t="n"/>
    </row>
    <row r="548" ht="15.75" customHeight="1" s="39">
      <c r="D548" s="8" t="n"/>
      <c r="F548" s="11" t="n"/>
    </row>
    <row r="549" ht="15.75" customHeight="1" s="39">
      <c r="D549" s="8" t="n"/>
      <c r="F549" s="11" t="n"/>
    </row>
    <row r="550" ht="15.75" customHeight="1" s="39">
      <c r="D550" s="8" t="n"/>
      <c r="F550" s="11" t="n"/>
    </row>
    <row r="551" ht="15.75" customHeight="1" s="39">
      <c r="D551" s="8" t="n"/>
      <c r="F551" s="11" t="n"/>
    </row>
    <row r="552" ht="15.75" customHeight="1" s="39">
      <c r="D552" s="8" t="n"/>
      <c r="F552" s="11" t="n"/>
    </row>
    <row r="553" ht="15.75" customHeight="1" s="39">
      <c r="D553" s="8" t="n"/>
      <c r="F553" s="11" t="n"/>
    </row>
    <row r="554" ht="15.75" customHeight="1" s="39">
      <c r="D554" s="8" t="n"/>
      <c r="F554" s="11" t="n"/>
    </row>
    <row r="555" ht="15.75" customHeight="1" s="39">
      <c r="D555" s="8" t="n"/>
      <c r="F555" s="11" t="n"/>
    </row>
    <row r="556" ht="15.75" customHeight="1" s="39">
      <c r="D556" s="8" t="n"/>
      <c r="F556" s="11" t="n"/>
    </row>
    <row r="557" ht="15.75" customHeight="1" s="39">
      <c r="D557" s="8" t="n"/>
      <c r="F557" s="11" t="n"/>
    </row>
    <row r="558" ht="15.75" customHeight="1" s="39">
      <c r="D558" s="8" t="n"/>
      <c r="F558" s="11" t="n"/>
    </row>
    <row r="559" ht="15.75" customHeight="1" s="39">
      <c r="D559" s="8" t="n"/>
      <c r="F559" s="11" t="n"/>
    </row>
    <row r="560" ht="15.75" customHeight="1" s="39">
      <c r="D560" s="8" t="n"/>
      <c r="F560" s="11" t="n"/>
    </row>
    <row r="561" ht="15.75" customHeight="1" s="39">
      <c r="D561" s="8" t="n"/>
      <c r="F561" s="11" t="n"/>
    </row>
    <row r="562" ht="15.75" customHeight="1" s="39">
      <c r="D562" s="8" t="n"/>
      <c r="F562" s="11" t="n"/>
    </row>
    <row r="563" ht="15.75" customHeight="1" s="39">
      <c r="D563" s="8" t="n"/>
      <c r="F563" s="11" t="n"/>
    </row>
    <row r="564" ht="15.75" customHeight="1" s="39">
      <c r="D564" s="8" t="n"/>
      <c r="F564" s="11" t="n"/>
    </row>
    <row r="565" ht="15.75" customHeight="1" s="39">
      <c r="D565" s="8" t="n"/>
      <c r="F565" s="11" t="n"/>
    </row>
    <row r="566" ht="15.75" customHeight="1" s="39">
      <c r="D566" s="8" t="n"/>
      <c r="F566" s="11" t="n"/>
    </row>
    <row r="567" ht="15.75" customHeight="1" s="39">
      <c r="D567" s="8" t="n"/>
      <c r="F567" s="11" t="n"/>
    </row>
    <row r="568" ht="15.75" customHeight="1" s="39">
      <c r="D568" s="8" t="n"/>
      <c r="F568" s="11" t="n"/>
    </row>
    <row r="569" ht="15.75" customHeight="1" s="39">
      <c r="D569" s="8" t="n"/>
      <c r="F569" s="11" t="n"/>
    </row>
    <row r="570" ht="15.75" customHeight="1" s="39">
      <c r="D570" s="8" t="n"/>
      <c r="F570" s="11" t="n"/>
    </row>
    <row r="571" ht="15.75" customHeight="1" s="39">
      <c r="D571" s="8" t="n"/>
      <c r="F571" s="11" t="n"/>
    </row>
    <row r="572" ht="15.75" customHeight="1" s="39">
      <c r="D572" s="8" t="n"/>
      <c r="F572" s="11" t="n"/>
    </row>
    <row r="573" ht="15.75" customHeight="1" s="39">
      <c r="D573" s="8" t="n"/>
      <c r="F573" s="11" t="n"/>
    </row>
    <row r="574" ht="15.75" customHeight="1" s="39">
      <c r="D574" s="8" t="n"/>
      <c r="F574" s="11" t="n"/>
    </row>
    <row r="575" ht="15.75" customHeight="1" s="39">
      <c r="D575" s="8" t="n"/>
      <c r="F575" s="11" t="n"/>
    </row>
    <row r="576" ht="15.75" customHeight="1" s="39">
      <c r="D576" s="8" t="n"/>
      <c r="F576" s="11" t="n"/>
    </row>
    <row r="577" ht="15.75" customHeight="1" s="39">
      <c r="D577" s="8" t="n"/>
      <c r="F577" s="11" t="n"/>
    </row>
    <row r="578" ht="15.75" customHeight="1" s="39">
      <c r="D578" s="8" t="n"/>
      <c r="F578" s="11" t="n"/>
    </row>
    <row r="579" ht="15.75" customHeight="1" s="39">
      <c r="D579" s="8" t="n"/>
      <c r="F579" s="11" t="n"/>
    </row>
    <row r="580" ht="15.75" customHeight="1" s="39">
      <c r="D580" s="8" t="n"/>
      <c r="F580" s="11" t="n"/>
    </row>
    <row r="581" ht="15.75" customHeight="1" s="39">
      <c r="D581" s="8" t="n"/>
      <c r="F581" s="11" t="n"/>
    </row>
    <row r="582" ht="15.75" customHeight="1" s="39">
      <c r="D582" s="8" t="n"/>
      <c r="F582" s="11" t="n"/>
    </row>
    <row r="583" ht="15.75" customHeight="1" s="39">
      <c r="D583" s="8" t="n"/>
      <c r="F583" s="11" t="n"/>
    </row>
    <row r="584" ht="15.75" customHeight="1" s="39">
      <c r="D584" s="8" t="n"/>
      <c r="F584" s="11" t="n"/>
    </row>
    <row r="585" ht="15.75" customHeight="1" s="39">
      <c r="D585" s="8" t="n"/>
      <c r="F585" s="11" t="n"/>
    </row>
    <row r="586" ht="15.75" customHeight="1" s="39">
      <c r="D586" s="8" t="n"/>
      <c r="F586" s="11" t="n"/>
    </row>
    <row r="587" ht="15.75" customHeight="1" s="39">
      <c r="D587" s="8" t="n"/>
      <c r="F587" s="11" t="n"/>
    </row>
    <row r="588" ht="15.75" customHeight="1" s="39">
      <c r="D588" s="8" t="n"/>
      <c r="F588" s="11" t="n"/>
    </row>
    <row r="589" ht="15.75" customHeight="1" s="39">
      <c r="D589" s="8" t="n"/>
      <c r="F589" s="11" t="n"/>
    </row>
    <row r="590" ht="15.75" customHeight="1" s="39">
      <c r="D590" s="8" t="n"/>
      <c r="F590" s="11" t="n"/>
    </row>
    <row r="591" ht="15.75" customHeight="1" s="39">
      <c r="D591" s="8" t="n"/>
      <c r="F591" s="11" t="n"/>
    </row>
    <row r="592" ht="15.75" customHeight="1" s="39">
      <c r="D592" s="8" t="n"/>
      <c r="F592" s="11" t="n"/>
    </row>
    <row r="593" ht="15.75" customHeight="1" s="39">
      <c r="D593" s="8" t="n"/>
      <c r="F593" s="11" t="n"/>
    </row>
    <row r="594" ht="15.75" customHeight="1" s="39">
      <c r="D594" s="8" t="n"/>
      <c r="F594" s="11" t="n"/>
    </row>
    <row r="595" ht="15.75" customHeight="1" s="39">
      <c r="D595" s="8" t="n"/>
      <c r="F595" s="11" t="n"/>
    </row>
    <row r="596" ht="15.75" customHeight="1" s="39">
      <c r="D596" s="8" t="n"/>
      <c r="F596" s="11" t="n"/>
    </row>
    <row r="597" ht="15.75" customHeight="1" s="39">
      <c r="D597" s="8" t="n"/>
      <c r="F597" s="11" t="n"/>
    </row>
    <row r="598" ht="15.75" customHeight="1" s="39">
      <c r="D598" s="8" t="n"/>
      <c r="F598" s="11" t="n"/>
    </row>
    <row r="599" ht="15.75" customHeight="1" s="39">
      <c r="D599" s="8" t="n"/>
      <c r="F599" s="11" t="n"/>
    </row>
    <row r="600" ht="15.75" customHeight="1" s="39">
      <c r="D600" s="8" t="n"/>
      <c r="F600" s="11" t="n"/>
    </row>
    <row r="601" ht="15.75" customHeight="1" s="39">
      <c r="D601" s="8" t="n"/>
      <c r="F601" s="11" t="n"/>
    </row>
    <row r="602" ht="15.75" customHeight="1" s="39">
      <c r="D602" s="8" t="n"/>
      <c r="F602" s="11" t="n"/>
    </row>
    <row r="603" ht="15.75" customHeight="1" s="39">
      <c r="D603" s="8" t="n"/>
      <c r="F603" s="11" t="n"/>
    </row>
    <row r="604" ht="15.75" customHeight="1" s="39">
      <c r="D604" s="8" t="n"/>
      <c r="F604" s="11" t="n"/>
    </row>
    <row r="605" ht="15.75" customHeight="1" s="39">
      <c r="D605" s="8" t="n"/>
      <c r="F605" s="11" t="n"/>
    </row>
    <row r="606" ht="15.75" customHeight="1" s="39">
      <c r="D606" s="8" t="n"/>
      <c r="F606" s="11" t="n"/>
    </row>
    <row r="607" ht="15.75" customHeight="1" s="39">
      <c r="D607" s="8" t="n"/>
      <c r="F607" s="11" t="n"/>
    </row>
    <row r="608" ht="15.75" customHeight="1" s="39">
      <c r="D608" s="8" t="n"/>
      <c r="F608" s="11" t="n"/>
    </row>
    <row r="609" ht="15.75" customHeight="1" s="39">
      <c r="D609" s="8" t="n"/>
      <c r="F609" s="11" t="n"/>
    </row>
    <row r="610" ht="15.75" customHeight="1" s="39">
      <c r="D610" s="8" t="n"/>
      <c r="F610" s="11" t="n"/>
    </row>
    <row r="611" ht="15.75" customHeight="1" s="39">
      <c r="D611" s="8" t="n"/>
      <c r="F611" s="11" t="n"/>
    </row>
    <row r="612" ht="15.75" customHeight="1" s="39">
      <c r="D612" s="8" t="n"/>
      <c r="F612" s="11" t="n"/>
    </row>
    <row r="613" ht="15.75" customHeight="1" s="39">
      <c r="D613" s="8" t="n"/>
      <c r="F613" s="11" t="n"/>
    </row>
    <row r="614" ht="15.75" customHeight="1" s="39">
      <c r="D614" s="8" t="n"/>
      <c r="F614" s="11" t="n"/>
    </row>
    <row r="615" ht="15.75" customHeight="1" s="39">
      <c r="D615" s="8" t="n"/>
      <c r="F615" s="11" t="n"/>
    </row>
    <row r="616" ht="15.75" customHeight="1" s="39">
      <c r="D616" s="8" t="n"/>
      <c r="F616" s="11" t="n"/>
    </row>
    <row r="617" ht="15.75" customHeight="1" s="39">
      <c r="D617" s="8" t="n"/>
      <c r="F617" s="11" t="n"/>
    </row>
    <row r="618" ht="15.75" customHeight="1" s="39">
      <c r="D618" s="8" t="n"/>
      <c r="F618" s="11" t="n"/>
    </row>
    <row r="619" ht="15.75" customHeight="1" s="39">
      <c r="D619" s="8" t="n"/>
      <c r="F619" s="11" t="n"/>
    </row>
    <row r="620" ht="15.75" customHeight="1" s="39">
      <c r="D620" s="8" t="n"/>
      <c r="F620" s="11" t="n"/>
    </row>
    <row r="621" ht="15.75" customHeight="1" s="39">
      <c r="D621" s="8" t="n"/>
      <c r="F621" s="11" t="n"/>
    </row>
    <row r="622" ht="15.75" customHeight="1" s="39">
      <c r="D622" s="8" t="n"/>
      <c r="F622" s="11" t="n"/>
    </row>
    <row r="623" ht="15.75" customHeight="1" s="39">
      <c r="D623" s="8" t="n"/>
      <c r="F623" s="11" t="n"/>
    </row>
    <row r="624" ht="15.75" customHeight="1" s="39">
      <c r="D624" s="8" t="n"/>
      <c r="F624" s="11" t="n"/>
    </row>
    <row r="625" ht="15.75" customHeight="1" s="39">
      <c r="D625" s="8" t="n"/>
      <c r="F625" s="11" t="n"/>
    </row>
    <row r="626" ht="15.75" customHeight="1" s="39">
      <c r="D626" s="8" t="n"/>
      <c r="F626" s="11" t="n"/>
    </row>
    <row r="627" ht="15.75" customHeight="1" s="39">
      <c r="D627" s="8" t="n"/>
      <c r="F627" s="11" t="n"/>
    </row>
    <row r="628" ht="15.75" customHeight="1" s="39">
      <c r="D628" s="8" t="n"/>
      <c r="F628" s="11" t="n"/>
    </row>
    <row r="629" ht="15.75" customHeight="1" s="39">
      <c r="D629" s="8" t="n"/>
      <c r="F629" s="11" t="n"/>
    </row>
    <row r="630" ht="15.75" customHeight="1" s="39">
      <c r="D630" s="8" t="n"/>
      <c r="F630" s="11" t="n"/>
    </row>
    <row r="631" ht="15.75" customHeight="1" s="39">
      <c r="D631" s="8" t="n"/>
      <c r="F631" s="11" t="n"/>
    </row>
    <row r="632" ht="15.75" customHeight="1" s="39">
      <c r="D632" s="8" t="n"/>
      <c r="F632" s="11" t="n"/>
    </row>
    <row r="633" ht="15.75" customHeight="1" s="39">
      <c r="D633" s="8" t="n"/>
      <c r="F633" s="11" t="n"/>
    </row>
    <row r="634" ht="15.75" customHeight="1" s="39">
      <c r="D634" s="8" t="n"/>
      <c r="F634" s="11" t="n"/>
    </row>
    <row r="635" ht="15.75" customHeight="1" s="39">
      <c r="D635" s="8" t="n"/>
      <c r="F635" s="11" t="n"/>
    </row>
    <row r="636" ht="15.75" customHeight="1" s="39">
      <c r="D636" s="8" t="n"/>
      <c r="F636" s="11" t="n"/>
    </row>
    <row r="637" ht="15.75" customHeight="1" s="39">
      <c r="D637" s="8" t="n"/>
      <c r="F637" s="11" t="n"/>
    </row>
    <row r="638" ht="15.75" customHeight="1" s="39">
      <c r="D638" s="8" t="n"/>
      <c r="F638" s="11" t="n"/>
    </row>
    <row r="639" ht="15.75" customHeight="1" s="39">
      <c r="D639" s="8" t="n"/>
      <c r="F639" s="11" t="n"/>
    </row>
    <row r="640" ht="15.75" customHeight="1" s="39">
      <c r="D640" s="8" t="n"/>
      <c r="F640" s="11" t="n"/>
    </row>
    <row r="641" ht="15.75" customHeight="1" s="39">
      <c r="D641" s="8" t="n"/>
      <c r="F641" s="11" t="n"/>
    </row>
    <row r="642" ht="15.75" customHeight="1" s="39">
      <c r="D642" s="8" t="n"/>
      <c r="F642" s="11" t="n"/>
    </row>
    <row r="643" ht="15.75" customHeight="1" s="39">
      <c r="D643" s="8" t="n"/>
      <c r="F643" s="11" t="n"/>
    </row>
    <row r="644" ht="15.75" customHeight="1" s="39">
      <c r="D644" s="8" t="n"/>
      <c r="F644" s="11" t="n"/>
    </row>
    <row r="645" ht="15.75" customHeight="1" s="39">
      <c r="D645" s="8" t="n"/>
      <c r="F645" s="11" t="n"/>
    </row>
    <row r="646" ht="15.75" customHeight="1" s="39">
      <c r="D646" s="8" t="n"/>
      <c r="F646" s="11" t="n"/>
    </row>
    <row r="647" ht="15.75" customHeight="1" s="39">
      <c r="D647" s="8" t="n"/>
      <c r="F647" s="11" t="n"/>
    </row>
    <row r="648" ht="15.75" customHeight="1" s="39">
      <c r="D648" s="8" t="n"/>
      <c r="F648" s="11" t="n"/>
    </row>
    <row r="649" ht="15.75" customHeight="1" s="39">
      <c r="D649" s="8" t="n"/>
      <c r="F649" s="11" t="n"/>
    </row>
    <row r="650" ht="15.75" customHeight="1" s="39">
      <c r="D650" s="8" t="n"/>
      <c r="F650" s="11" t="n"/>
    </row>
    <row r="651" ht="15.75" customHeight="1" s="39">
      <c r="D651" s="8" t="n"/>
      <c r="F651" s="11" t="n"/>
    </row>
    <row r="652" ht="15.75" customHeight="1" s="39">
      <c r="D652" s="8" t="n"/>
      <c r="F652" s="11" t="n"/>
    </row>
    <row r="653" ht="15.75" customHeight="1" s="39">
      <c r="D653" s="8" t="n"/>
      <c r="F653" s="11" t="n"/>
    </row>
    <row r="654" ht="15.75" customHeight="1" s="39">
      <c r="D654" s="8" t="n"/>
      <c r="F654" s="11" t="n"/>
    </row>
    <row r="655" ht="15.75" customHeight="1" s="39">
      <c r="D655" s="8" t="n"/>
      <c r="F655" s="11" t="n"/>
    </row>
    <row r="656" ht="15.75" customHeight="1" s="39">
      <c r="D656" s="8" t="n"/>
      <c r="F656" s="11" t="n"/>
    </row>
    <row r="657" ht="15.75" customHeight="1" s="39">
      <c r="D657" s="8" t="n"/>
      <c r="F657" s="11" t="n"/>
    </row>
    <row r="658" ht="15.75" customHeight="1" s="39">
      <c r="D658" s="8" t="n"/>
      <c r="F658" s="11" t="n"/>
    </row>
    <row r="659" ht="15.75" customHeight="1" s="39">
      <c r="D659" s="8" t="n"/>
      <c r="F659" s="11" t="n"/>
    </row>
    <row r="660" ht="15.75" customHeight="1" s="39">
      <c r="D660" s="8" t="n"/>
      <c r="F660" s="11" t="n"/>
    </row>
    <row r="661" ht="15.75" customHeight="1" s="39">
      <c r="D661" s="8" t="n"/>
      <c r="F661" s="11" t="n"/>
    </row>
    <row r="662" ht="15.75" customHeight="1" s="39">
      <c r="D662" s="8" t="n"/>
      <c r="F662" s="11" t="n"/>
    </row>
    <row r="663" ht="15.75" customHeight="1" s="39">
      <c r="D663" s="8" t="n"/>
      <c r="F663" s="11" t="n"/>
    </row>
    <row r="664" ht="15.75" customHeight="1" s="39">
      <c r="D664" s="8" t="n"/>
      <c r="F664" s="11" t="n"/>
    </row>
    <row r="665" ht="15.75" customHeight="1" s="39">
      <c r="D665" s="8" t="n"/>
      <c r="F665" s="11" t="n"/>
    </row>
    <row r="666" ht="15.75" customHeight="1" s="39">
      <c r="D666" s="8" t="n"/>
      <c r="F666" s="11" t="n"/>
    </row>
    <row r="667" ht="15.75" customHeight="1" s="39">
      <c r="D667" s="8" t="n"/>
      <c r="F667" s="11" t="n"/>
    </row>
    <row r="668" ht="15.75" customHeight="1" s="39">
      <c r="D668" s="8" t="n"/>
      <c r="F668" s="11" t="n"/>
    </row>
    <row r="669" ht="15.75" customHeight="1" s="39">
      <c r="D669" s="8" t="n"/>
      <c r="F669" s="11" t="n"/>
    </row>
    <row r="670" ht="15.75" customHeight="1" s="39">
      <c r="D670" s="8" t="n"/>
      <c r="F670" s="11" t="n"/>
    </row>
    <row r="671" ht="15.75" customHeight="1" s="39">
      <c r="D671" s="8" t="n"/>
      <c r="F671" s="11" t="n"/>
    </row>
    <row r="672" ht="15.75" customHeight="1" s="39">
      <c r="D672" s="8" t="n"/>
      <c r="F672" s="11" t="n"/>
    </row>
    <row r="673" ht="15.75" customHeight="1" s="39">
      <c r="D673" s="8" t="n"/>
      <c r="F673" s="11" t="n"/>
    </row>
    <row r="674" ht="15.75" customHeight="1" s="39">
      <c r="D674" s="8" t="n"/>
      <c r="F674" s="11" t="n"/>
    </row>
    <row r="675" ht="15.75" customHeight="1" s="39">
      <c r="D675" s="8" t="n"/>
      <c r="F675" s="11" t="n"/>
    </row>
    <row r="676" ht="15.75" customHeight="1" s="39">
      <c r="D676" s="8" t="n"/>
      <c r="F676" s="11" t="n"/>
    </row>
    <row r="677" ht="15.75" customHeight="1" s="39">
      <c r="D677" s="8" t="n"/>
      <c r="F677" s="11" t="n"/>
    </row>
    <row r="678" ht="15.75" customHeight="1" s="39">
      <c r="D678" s="8" t="n"/>
      <c r="F678" s="11" t="n"/>
    </row>
    <row r="679" ht="15.75" customHeight="1" s="39">
      <c r="D679" s="8" t="n"/>
      <c r="F679" s="11" t="n"/>
    </row>
    <row r="680" ht="15.75" customHeight="1" s="39">
      <c r="D680" s="8" t="n"/>
      <c r="F680" s="11" t="n"/>
    </row>
    <row r="681" ht="15.75" customHeight="1" s="39">
      <c r="D681" s="8" t="n"/>
      <c r="F681" s="11" t="n"/>
    </row>
    <row r="682" ht="15.75" customHeight="1" s="39">
      <c r="D682" s="8" t="n"/>
      <c r="F682" s="11" t="n"/>
    </row>
    <row r="683" ht="15.75" customHeight="1" s="39">
      <c r="D683" s="8" t="n"/>
      <c r="F683" s="11" t="n"/>
    </row>
    <row r="684" ht="15.75" customHeight="1" s="39">
      <c r="D684" s="8" t="n"/>
      <c r="F684" s="11" t="n"/>
    </row>
    <row r="685" ht="15.75" customHeight="1" s="39">
      <c r="D685" s="8" t="n"/>
      <c r="F685" s="11" t="n"/>
    </row>
    <row r="686" ht="15.75" customHeight="1" s="39">
      <c r="D686" s="8" t="n"/>
      <c r="F686" s="11" t="n"/>
    </row>
    <row r="687" ht="15.75" customHeight="1" s="39">
      <c r="D687" s="8" t="n"/>
      <c r="F687" s="11" t="n"/>
    </row>
    <row r="688" ht="15.75" customHeight="1" s="39">
      <c r="D688" s="8" t="n"/>
      <c r="F688" s="11" t="n"/>
    </row>
    <row r="689" ht="15.75" customHeight="1" s="39">
      <c r="D689" s="8" t="n"/>
      <c r="F689" s="11" t="n"/>
    </row>
    <row r="690" ht="15.75" customHeight="1" s="39">
      <c r="D690" s="8" t="n"/>
      <c r="F690" s="11" t="n"/>
    </row>
    <row r="691" ht="15.75" customHeight="1" s="39">
      <c r="D691" s="8" t="n"/>
      <c r="F691" s="11" t="n"/>
    </row>
    <row r="692" ht="15.75" customHeight="1" s="39">
      <c r="D692" s="8" t="n"/>
      <c r="F692" s="11" t="n"/>
    </row>
    <row r="693" ht="15.75" customHeight="1" s="39">
      <c r="D693" s="8" t="n"/>
      <c r="F693" s="11" t="n"/>
    </row>
    <row r="694" ht="15.75" customHeight="1" s="39">
      <c r="D694" s="8" t="n"/>
      <c r="F694" s="11" t="n"/>
    </row>
    <row r="695" ht="15.75" customHeight="1" s="39">
      <c r="D695" s="8" t="n"/>
      <c r="F695" s="11" t="n"/>
    </row>
    <row r="696" ht="15.75" customHeight="1" s="39">
      <c r="D696" s="8" t="n"/>
      <c r="F696" s="11" t="n"/>
    </row>
    <row r="697" ht="15.75" customHeight="1" s="39">
      <c r="D697" s="8" t="n"/>
      <c r="F697" s="11" t="n"/>
    </row>
    <row r="698" ht="15.75" customHeight="1" s="39">
      <c r="D698" s="8" t="n"/>
      <c r="F698" s="11" t="n"/>
    </row>
    <row r="699" ht="15.75" customHeight="1" s="39">
      <c r="D699" s="8" t="n"/>
      <c r="F699" s="11" t="n"/>
    </row>
    <row r="700" ht="15.75" customHeight="1" s="39">
      <c r="D700" s="8" t="n"/>
      <c r="F700" s="11" t="n"/>
    </row>
    <row r="701" ht="15.75" customHeight="1" s="39">
      <c r="D701" s="8" t="n"/>
      <c r="F701" s="11" t="n"/>
    </row>
    <row r="702" ht="15.75" customHeight="1" s="39">
      <c r="D702" s="8" t="n"/>
      <c r="F702" s="11" t="n"/>
    </row>
    <row r="703" ht="15.75" customHeight="1" s="39">
      <c r="D703" s="8" t="n"/>
      <c r="F703" s="11" t="n"/>
    </row>
    <row r="704" ht="15.75" customHeight="1" s="39">
      <c r="D704" s="8" t="n"/>
      <c r="F704" s="11" t="n"/>
    </row>
    <row r="705" ht="15.75" customHeight="1" s="39">
      <c r="D705" s="8" t="n"/>
      <c r="F705" s="11" t="n"/>
    </row>
    <row r="706" ht="15.75" customHeight="1" s="39">
      <c r="D706" s="8" t="n"/>
      <c r="F706" s="11" t="n"/>
    </row>
    <row r="707" ht="15.75" customHeight="1" s="39">
      <c r="D707" s="8" t="n"/>
      <c r="F707" s="11" t="n"/>
    </row>
    <row r="708" ht="15.75" customHeight="1" s="39">
      <c r="D708" s="8" t="n"/>
      <c r="F708" s="11" t="n"/>
    </row>
    <row r="709" ht="15.75" customHeight="1" s="39">
      <c r="D709" s="8" t="n"/>
      <c r="F709" s="11" t="n"/>
    </row>
    <row r="710" ht="15.75" customHeight="1" s="39">
      <c r="D710" s="8" t="n"/>
      <c r="F710" s="11" t="n"/>
    </row>
    <row r="711" ht="15.75" customHeight="1" s="39">
      <c r="D711" s="8" t="n"/>
      <c r="F711" s="11" t="n"/>
    </row>
    <row r="712" ht="15.75" customHeight="1" s="39">
      <c r="D712" s="8" t="n"/>
      <c r="F712" s="11" t="n"/>
    </row>
    <row r="713" ht="15.75" customHeight="1" s="39">
      <c r="D713" s="8" t="n"/>
      <c r="F713" s="11" t="n"/>
    </row>
    <row r="714" ht="15.75" customHeight="1" s="39">
      <c r="D714" s="8" t="n"/>
      <c r="F714" s="11" t="n"/>
    </row>
    <row r="715" ht="15.75" customHeight="1" s="39">
      <c r="D715" s="8" t="n"/>
      <c r="F715" s="11" t="n"/>
    </row>
    <row r="716" ht="15.75" customHeight="1" s="39">
      <c r="D716" s="8" t="n"/>
      <c r="F716" s="11" t="n"/>
    </row>
    <row r="717" ht="15.75" customHeight="1" s="39">
      <c r="D717" s="8" t="n"/>
      <c r="F717" s="11" t="n"/>
    </row>
    <row r="718" ht="15.75" customHeight="1" s="39">
      <c r="D718" s="8" t="n"/>
      <c r="F718" s="11" t="n"/>
    </row>
    <row r="719" ht="15.75" customHeight="1" s="39">
      <c r="D719" s="8" t="n"/>
      <c r="F719" s="11" t="n"/>
    </row>
    <row r="720" ht="15.75" customHeight="1" s="39">
      <c r="D720" s="8" t="n"/>
      <c r="F720" s="11" t="n"/>
    </row>
    <row r="721" ht="15.75" customHeight="1" s="39">
      <c r="D721" s="8" t="n"/>
      <c r="F721" s="11" t="n"/>
    </row>
    <row r="722" ht="15.75" customHeight="1" s="39">
      <c r="D722" s="8" t="n"/>
      <c r="F722" s="11" t="n"/>
    </row>
    <row r="723" ht="15.75" customHeight="1" s="39">
      <c r="D723" s="8" t="n"/>
      <c r="F723" s="11" t="n"/>
    </row>
    <row r="724" ht="15.75" customHeight="1" s="39">
      <c r="D724" s="8" t="n"/>
      <c r="F724" s="11" t="n"/>
    </row>
    <row r="725" ht="15.75" customHeight="1" s="39">
      <c r="D725" s="8" t="n"/>
      <c r="F725" s="11" t="n"/>
    </row>
    <row r="726" ht="15.75" customHeight="1" s="39">
      <c r="D726" s="8" t="n"/>
      <c r="F726" s="11" t="n"/>
    </row>
    <row r="727" ht="15.75" customHeight="1" s="39">
      <c r="D727" s="8" t="n"/>
      <c r="F727" s="11" t="n"/>
    </row>
    <row r="728" ht="15.75" customHeight="1" s="39">
      <c r="D728" s="8" t="n"/>
      <c r="F728" s="11" t="n"/>
    </row>
    <row r="729" ht="15.75" customHeight="1" s="39">
      <c r="D729" s="8" t="n"/>
      <c r="F729" s="11" t="n"/>
    </row>
    <row r="730" ht="15.75" customHeight="1" s="39">
      <c r="D730" s="8" t="n"/>
      <c r="F730" s="11" t="n"/>
    </row>
    <row r="731" ht="15.75" customHeight="1" s="39">
      <c r="D731" s="8" t="n"/>
      <c r="F731" s="11" t="n"/>
    </row>
    <row r="732" ht="15.75" customHeight="1" s="39">
      <c r="D732" s="8" t="n"/>
      <c r="F732" s="11" t="n"/>
    </row>
    <row r="733" ht="15.75" customHeight="1" s="39">
      <c r="D733" s="8" t="n"/>
      <c r="F733" s="11" t="n"/>
    </row>
    <row r="734" ht="15.75" customHeight="1" s="39">
      <c r="D734" s="8" t="n"/>
      <c r="F734" s="11" t="n"/>
    </row>
    <row r="735" ht="15.75" customHeight="1" s="39">
      <c r="D735" s="8" t="n"/>
      <c r="F735" s="11" t="n"/>
    </row>
    <row r="736" ht="15.75" customHeight="1" s="39">
      <c r="D736" s="8" t="n"/>
      <c r="F736" s="11" t="n"/>
    </row>
    <row r="737" ht="15.75" customHeight="1" s="39">
      <c r="D737" s="8" t="n"/>
      <c r="F737" s="11" t="n"/>
    </row>
    <row r="738" ht="15.75" customHeight="1" s="39">
      <c r="D738" s="8" t="n"/>
      <c r="F738" s="11" t="n"/>
    </row>
    <row r="739" ht="15.75" customHeight="1" s="39">
      <c r="D739" s="8" t="n"/>
      <c r="F739" s="11" t="n"/>
    </row>
    <row r="740" ht="15.75" customHeight="1" s="39">
      <c r="D740" s="8" t="n"/>
      <c r="F740" s="11" t="n"/>
    </row>
    <row r="741" ht="15.75" customHeight="1" s="39">
      <c r="D741" s="8" t="n"/>
      <c r="F741" s="11" t="n"/>
    </row>
    <row r="742" ht="15.75" customHeight="1" s="39">
      <c r="D742" s="8" t="n"/>
      <c r="F742" s="11" t="n"/>
    </row>
    <row r="743" ht="15.75" customHeight="1" s="39">
      <c r="D743" s="8" t="n"/>
      <c r="F743" s="11" t="n"/>
    </row>
    <row r="744" ht="15.75" customHeight="1" s="39">
      <c r="D744" s="8" t="n"/>
      <c r="F744" s="11" t="n"/>
    </row>
    <row r="745" ht="15.75" customHeight="1" s="39">
      <c r="D745" s="8" t="n"/>
      <c r="F745" s="11" t="n"/>
    </row>
    <row r="746" ht="15.75" customHeight="1" s="39">
      <c r="D746" s="8" t="n"/>
      <c r="F746" s="11" t="n"/>
    </row>
    <row r="747" ht="15.75" customHeight="1" s="39">
      <c r="D747" s="8" t="n"/>
      <c r="F747" s="11" t="n"/>
    </row>
    <row r="748" ht="15.75" customHeight="1" s="39">
      <c r="D748" s="8" t="n"/>
      <c r="F748" s="11" t="n"/>
    </row>
    <row r="749" ht="15.75" customHeight="1" s="39">
      <c r="D749" s="8" t="n"/>
      <c r="F749" s="11" t="n"/>
    </row>
    <row r="750" ht="15.75" customHeight="1" s="39">
      <c r="D750" s="8" t="n"/>
      <c r="F750" s="11" t="n"/>
    </row>
    <row r="751" ht="15.75" customHeight="1" s="39">
      <c r="D751" s="8" t="n"/>
      <c r="F751" s="11" t="n"/>
    </row>
    <row r="752" ht="15.75" customHeight="1" s="39">
      <c r="D752" s="8" t="n"/>
      <c r="F752" s="11" t="n"/>
    </row>
    <row r="753" ht="15.75" customHeight="1" s="39">
      <c r="D753" s="8" t="n"/>
      <c r="F753" s="11" t="n"/>
    </row>
    <row r="754" ht="15.75" customHeight="1" s="39">
      <c r="D754" s="8" t="n"/>
      <c r="F754" s="11" t="n"/>
    </row>
    <row r="755" ht="15.75" customHeight="1" s="39">
      <c r="D755" s="8" t="n"/>
      <c r="F755" s="11" t="n"/>
    </row>
    <row r="756" ht="15.75" customHeight="1" s="39">
      <c r="D756" s="8" t="n"/>
      <c r="F756" s="11" t="n"/>
    </row>
    <row r="757" ht="15.75" customHeight="1" s="39">
      <c r="D757" s="8" t="n"/>
      <c r="F757" s="11" t="n"/>
    </row>
    <row r="758" ht="15.75" customHeight="1" s="39">
      <c r="D758" s="8" t="n"/>
      <c r="F758" s="11" t="n"/>
    </row>
    <row r="759" ht="15.75" customHeight="1" s="39">
      <c r="D759" s="8" t="n"/>
      <c r="F759" s="11" t="n"/>
    </row>
    <row r="760" ht="15.75" customHeight="1" s="39">
      <c r="D760" s="8" t="n"/>
      <c r="F760" s="11" t="n"/>
    </row>
    <row r="761" ht="15.75" customHeight="1" s="39">
      <c r="D761" s="8" t="n"/>
      <c r="F761" s="11" t="n"/>
    </row>
    <row r="762" ht="15.75" customHeight="1" s="39">
      <c r="D762" s="8" t="n"/>
      <c r="F762" s="11" t="n"/>
    </row>
    <row r="763" ht="15.75" customHeight="1" s="39">
      <c r="D763" s="8" t="n"/>
      <c r="F763" s="11" t="n"/>
    </row>
    <row r="764" ht="15.75" customHeight="1" s="39">
      <c r="D764" s="8" t="n"/>
      <c r="F764" s="11" t="n"/>
    </row>
    <row r="765" ht="15.75" customHeight="1" s="39">
      <c r="D765" s="8" t="n"/>
      <c r="F765" s="11" t="n"/>
    </row>
    <row r="766" ht="15.75" customHeight="1" s="39">
      <c r="D766" s="8" t="n"/>
      <c r="F766" s="11" t="n"/>
    </row>
    <row r="767" ht="15.75" customHeight="1" s="39">
      <c r="D767" s="8" t="n"/>
      <c r="F767" s="11" t="n"/>
    </row>
    <row r="768" ht="15.75" customHeight="1" s="39">
      <c r="D768" s="8" t="n"/>
      <c r="F768" s="11" t="n"/>
    </row>
    <row r="769" ht="15.75" customHeight="1" s="39">
      <c r="D769" s="8" t="n"/>
      <c r="F769" s="11" t="n"/>
    </row>
    <row r="770" ht="15.75" customHeight="1" s="39">
      <c r="D770" s="8" t="n"/>
      <c r="F770" s="11" t="n"/>
    </row>
    <row r="771" ht="15.75" customHeight="1" s="39">
      <c r="D771" s="8" t="n"/>
      <c r="F771" s="11" t="n"/>
    </row>
    <row r="772" ht="15.75" customHeight="1" s="39">
      <c r="D772" s="8" t="n"/>
      <c r="F772" s="11" t="n"/>
    </row>
    <row r="773" ht="15.75" customHeight="1" s="39">
      <c r="D773" s="8" t="n"/>
      <c r="F773" s="11" t="n"/>
    </row>
    <row r="774" ht="15.75" customHeight="1" s="39">
      <c r="D774" s="8" t="n"/>
      <c r="F774" s="11" t="n"/>
    </row>
    <row r="775" ht="15.75" customHeight="1" s="39">
      <c r="D775" s="8" t="n"/>
      <c r="F775" s="11" t="n"/>
    </row>
    <row r="776" ht="15.75" customHeight="1" s="39">
      <c r="D776" s="8" t="n"/>
      <c r="F776" s="11" t="n"/>
    </row>
    <row r="777" ht="15.75" customHeight="1" s="39">
      <c r="D777" s="8" t="n"/>
      <c r="F777" s="11" t="n"/>
    </row>
    <row r="778" ht="15.75" customHeight="1" s="39">
      <c r="D778" s="8" t="n"/>
      <c r="F778" s="11" t="n"/>
    </row>
    <row r="779" ht="15.75" customHeight="1" s="39">
      <c r="D779" s="8" t="n"/>
      <c r="F779" s="11" t="n"/>
    </row>
    <row r="780" ht="15.75" customHeight="1" s="39">
      <c r="D780" s="8" t="n"/>
      <c r="F780" s="11" t="n"/>
    </row>
    <row r="781" ht="15.75" customHeight="1" s="39">
      <c r="D781" s="8" t="n"/>
      <c r="F781" s="11" t="n"/>
    </row>
    <row r="782" ht="15.75" customHeight="1" s="39">
      <c r="D782" s="8" t="n"/>
      <c r="F782" s="11" t="n"/>
    </row>
    <row r="783" ht="15.75" customHeight="1" s="39">
      <c r="D783" s="8" t="n"/>
      <c r="F783" s="11" t="n"/>
    </row>
    <row r="784" ht="15.75" customHeight="1" s="39">
      <c r="D784" s="8" t="n"/>
      <c r="F784" s="11" t="n"/>
    </row>
    <row r="785" ht="15.75" customHeight="1" s="39">
      <c r="D785" s="8" t="n"/>
      <c r="F785" s="11" t="n"/>
    </row>
    <row r="786" ht="15.75" customHeight="1" s="39">
      <c r="D786" s="8" t="n"/>
      <c r="F786" s="11" t="n"/>
    </row>
    <row r="787" ht="15.75" customHeight="1" s="39">
      <c r="D787" s="8" t="n"/>
      <c r="F787" s="11" t="n"/>
    </row>
    <row r="788" ht="15.75" customHeight="1" s="39">
      <c r="D788" s="8" t="n"/>
      <c r="F788" s="11" t="n"/>
    </row>
    <row r="789" ht="15.75" customHeight="1" s="39">
      <c r="D789" s="8" t="n"/>
      <c r="F789" s="11" t="n"/>
    </row>
    <row r="790" ht="15.75" customHeight="1" s="39">
      <c r="D790" s="8" t="n"/>
      <c r="F790" s="11" t="n"/>
    </row>
    <row r="791" ht="15.75" customHeight="1" s="39">
      <c r="D791" s="8" t="n"/>
      <c r="F791" s="11" t="n"/>
    </row>
    <row r="792" ht="15.75" customHeight="1" s="39">
      <c r="D792" s="8" t="n"/>
      <c r="F792" s="11" t="n"/>
    </row>
    <row r="793" ht="15.75" customHeight="1" s="39">
      <c r="D793" s="8" t="n"/>
      <c r="F793" s="11" t="n"/>
    </row>
    <row r="794" ht="15.75" customHeight="1" s="39">
      <c r="D794" s="8" t="n"/>
      <c r="F794" s="11" t="n"/>
    </row>
    <row r="795" ht="15.75" customHeight="1" s="39">
      <c r="D795" s="8" t="n"/>
      <c r="F795" s="11" t="n"/>
    </row>
    <row r="796" ht="15.75" customHeight="1" s="39">
      <c r="D796" s="8" t="n"/>
      <c r="F796" s="11" t="n"/>
    </row>
    <row r="797" ht="15.75" customHeight="1" s="39">
      <c r="D797" s="8" t="n"/>
      <c r="F797" s="11" t="n"/>
    </row>
    <row r="798" ht="15.75" customHeight="1" s="39">
      <c r="D798" s="8" t="n"/>
      <c r="F798" s="11" t="n"/>
    </row>
    <row r="799" ht="15.75" customHeight="1" s="39">
      <c r="D799" s="8" t="n"/>
      <c r="F799" s="11" t="n"/>
    </row>
    <row r="800" ht="15.75" customHeight="1" s="39">
      <c r="D800" s="8" t="n"/>
      <c r="F800" s="11" t="n"/>
    </row>
    <row r="801" ht="15.75" customHeight="1" s="39">
      <c r="D801" s="8" t="n"/>
      <c r="F801" s="11" t="n"/>
    </row>
    <row r="802" ht="15.75" customHeight="1" s="39">
      <c r="D802" s="8" t="n"/>
      <c r="F802" s="11" t="n"/>
    </row>
    <row r="803" ht="15.75" customHeight="1" s="39">
      <c r="D803" s="8" t="n"/>
      <c r="F803" s="11" t="n"/>
    </row>
    <row r="804" ht="15.75" customHeight="1" s="39">
      <c r="D804" s="8" t="n"/>
      <c r="F804" s="11" t="n"/>
    </row>
    <row r="805" ht="15.75" customHeight="1" s="39">
      <c r="D805" s="8" t="n"/>
      <c r="F805" s="11" t="n"/>
    </row>
    <row r="806" ht="15.75" customHeight="1" s="39">
      <c r="D806" s="8" t="n"/>
      <c r="F806" s="11" t="n"/>
    </row>
    <row r="807" ht="15.75" customHeight="1" s="39">
      <c r="D807" s="8" t="n"/>
      <c r="F807" s="11" t="n"/>
    </row>
    <row r="808" ht="15.75" customHeight="1" s="39">
      <c r="D808" s="8" t="n"/>
      <c r="F808" s="11" t="n"/>
    </row>
    <row r="809" ht="15.75" customHeight="1" s="39">
      <c r="D809" s="8" t="n"/>
      <c r="F809" s="11" t="n"/>
    </row>
    <row r="810" ht="15.75" customHeight="1" s="39">
      <c r="D810" s="8" t="n"/>
      <c r="F810" s="11" t="n"/>
    </row>
    <row r="811" ht="15.75" customHeight="1" s="39">
      <c r="D811" s="8" t="n"/>
      <c r="F811" s="11" t="n"/>
    </row>
    <row r="812" ht="15.75" customHeight="1" s="39">
      <c r="D812" s="8" t="n"/>
      <c r="F812" s="11" t="n"/>
    </row>
    <row r="813" ht="15.75" customHeight="1" s="39">
      <c r="D813" s="8" t="n"/>
      <c r="F813" s="11" t="n"/>
    </row>
    <row r="814" ht="15.75" customHeight="1" s="39">
      <c r="D814" s="8" t="n"/>
      <c r="F814" s="11" t="n"/>
    </row>
    <row r="815" ht="15.75" customHeight="1" s="39">
      <c r="D815" s="8" t="n"/>
      <c r="F815" s="11" t="n"/>
    </row>
    <row r="816" ht="15.75" customHeight="1" s="39">
      <c r="D816" s="8" t="n"/>
      <c r="F816" s="11" t="n"/>
    </row>
    <row r="817" ht="15.75" customHeight="1" s="39">
      <c r="D817" s="8" t="n"/>
      <c r="F817" s="11" t="n"/>
    </row>
    <row r="818" ht="15.75" customHeight="1" s="39">
      <c r="D818" s="8" t="n"/>
      <c r="F818" s="11" t="n"/>
    </row>
    <row r="819" ht="15.75" customHeight="1" s="39">
      <c r="D819" s="8" t="n"/>
      <c r="F819" s="11" t="n"/>
    </row>
    <row r="820" ht="15.75" customHeight="1" s="39">
      <c r="D820" s="8" t="n"/>
      <c r="F820" s="11" t="n"/>
    </row>
    <row r="821" ht="15.75" customHeight="1" s="39">
      <c r="D821" s="8" t="n"/>
      <c r="F821" s="11" t="n"/>
    </row>
    <row r="822" ht="15.75" customHeight="1" s="39">
      <c r="D822" s="8" t="n"/>
      <c r="F822" s="11" t="n"/>
    </row>
    <row r="823" ht="15.75" customHeight="1" s="39">
      <c r="D823" s="8" t="n"/>
      <c r="F823" s="11" t="n"/>
    </row>
    <row r="824" ht="15.75" customHeight="1" s="39">
      <c r="D824" s="8" t="n"/>
      <c r="F824" s="11" t="n"/>
    </row>
    <row r="825" ht="15.75" customHeight="1" s="39">
      <c r="D825" s="8" t="n"/>
      <c r="F825" s="11" t="n"/>
    </row>
    <row r="826" ht="15.75" customHeight="1" s="39">
      <c r="D826" s="8" t="n"/>
      <c r="F826" s="11" t="n"/>
    </row>
    <row r="827" ht="15.75" customHeight="1" s="39">
      <c r="D827" s="8" t="n"/>
      <c r="F827" s="11" t="n"/>
    </row>
    <row r="828" ht="15.75" customHeight="1" s="39">
      <c r="D828" s="8" t="n"/>
      <c r="F828" s="11" t="n"/>
    </row>
    <row r="829" ht="15.75" customHeight="1" s="39">
      <c r="D829" s="8" t="n"/>
      <c r="F829" s="11" t="n"/>
    </row>
    <row r="830" ht="15.75" customHeight="1" s="39">
      <c r="D830" s="8" t="n"/>
      <c r="F830" s="11" t="n"/>
    </row>
    <row r="831" ht="15.75" customHeight="1" s="39">
      <c r="D831" s="8" t="n"/>
      <c r="F831" s="11" t="n"/>
    </row>
    <row r="832" ht="15.75" customHeight="1" s="39">
      <c r="D832" s="8" t="n"/>
      <c r="F832" s="11" t="n"/>
    </row>
    <row r="833" ht="15.75" customHeight="1" s="39">
      <c r="D833" s="8" t="n"/>
      <c r="F833" s="11" t="n"/>
    </row>
    <row r="834" ht="15.75" customHeight="1" s="39">
      <c r="D834" s="8" t="n"/>
      <c r="F834" s="11" t="n"/>
    </row>
    <row r="835" ht="15.75" customHeight="1" s="39">
      <c r="D835" s="8" t="n"/>
      <c r="F835" s="11" t="n"/>
    </row>
    <row r="836" ht="15.75" customHeight="1" s="39">
      <c r="D836" s="8" t="n"/>
      <c r="F836" s="11" t="n"/>
    </row>
    <row r="837" ht="15.75" customHeight="1" s="39">
      <c r="D837" s="8" t="n"/>
      <c r="F837" s="11" t="n"/>
    </row>
    <row r="838" ht="15.75" customHeight="1" s="39">
      <c r="D838" s="8" t="n"/>
      <c r="F838" s="11" t="n"/>
    </row>
    <row r="839" ht="15.75" customHeight="1" s="39">
      <c r="D839" s="8" t="n"/>
      <c r="F839" s="11" t="n"/>
    </row>
    <row r="840" ht="15.75" customHeight="1" s="39">
      <c r="D840" s="8" t="n"/>
      <c r="F840" s="11" t="n"/>
    </row>
    <row r="841" ht="15.75" customHeight="1" s="39">
      <c r="D841" s="8" t="n"/>
      <c r="F841" s="11" t="n"/>
    </row>
    <row r="842" ht="15.75" customHeight="1" s="39">
      <c r="D842" s="8" t="n"/>
      <c r="F842" s="11" t="n"/>
    </row>
    <row r="843" ht="15.75" customHeight="1" s="39">
      <c r="D843" s="8" t="n"/>
      <c r="F843" s="11" t="n"/>
    </row>
    <row r="844" ht="15.75" customHeight="1" s="39">
      <c r="D844" s="8" t="n"/>
      <c r="F844" s="11" t="n"/>
    </row>
    <row r="845" ht="15.75" customHeight="1" s="39">
      <c r="D845" s="8" t="n"/>
      <c r="F845" s="11" t="n"/>
    </row>
    <row r="846" ht="15.75" customHeight="1" s="39">
      <c r="D846" s="8" t="n"/>
      <c r="F846" s="11" t="n"/>
    </row>
    <row r="847" ht="15.75" customHeight="1" s="39">
      <c r="D847" s="8" t="n"/>
      <c r="F847" s="11" t="n"/>
    </row>
    <row r="848" ht="15.75" customHeight="1" s="39">
      <c r="D848" s="8" t="n"/>
      <c r="F848" s="11" t="n"/>
    </row>
    <row r="849" ht="15.75" customHeight="1" s="39">
      <c r="D849" s="8" t="n"/>
      <c r="F849" s="11" t="n"/>
    </row>
    <row r="850" ht="15.75" customHeight="1" s="39">
      <c r="D850" s="8" t="n"/>
      <c r="F850" s="11" t="n"/>
    </row>
    <row r="851" ht="15.75" customHeight="1" s="39">
      <c r="D851" s="8" t="n"/>
      <c r="F851" s="11" t="n"/>
    </row>
    <row r="852" ht="15.75" customHeight="1" s="39">
      <c r="D852" s="8" t="n"/>
      <c r="F852" s="11" t="n"/>
    </row>
    <row r="853" ht="15.75" customHeight="1" s="39">
      <c r="D853" s="8" t="n"/>
      <c r="F853" s="11" t="n"/>
    </row>
    <row r="854" ht="15.75" customHeight="1" s="39">
      <c r="D854" s="8" t="n"/>
      <c r="F854" s="11" t="n"/>
    </row>
    <row r="855" ht="15.75" customHeight="1" s="39">
      <c r="D855" s="8" t="n"/>
      <c r="F855" s="11" t="n"/>
    </row>
    <row r="856" ht="15.75" customHeight="1" s="39">
      <c r="D856" s="8" t="n"/>
      <c r="F856" s="11" t="n"/>
    </row>
    <row r="857" ht="15.75" customHeight="1" s="39">
      <c r="D857" s="8" t="n"/>
      <c r="F857" s="11" t="n"/>
    </row>
    <row r="858" ht="15.75" customHeight="1" s="39">
      <c r="D858" s="8" t="n"/>
      <c r="F858" s="11" t="n"/>
    </row>
    <row r="859" ht="15.75" customHeight="1" s="39">
      <c r="D859" s="8" t="n"/>
      <c r="F859" s="11" t="n"/>
    </row>
    <row r="860" ht="15.75" customHeight="1" s="39">
      <c r="D860" s="8" t="n"/>
      <c r="F860" s="11" t="n"/>
    </row>
    <row r="861" ht="15.75" customHeight="1" s="39">
      <c r="D861" s="8" t="n"/>
      <c r="F861" s="11" t="n"/>
    </row>
    <row r="862" ht="15.75" customHeight="1" s="39">
      <c r="D862" s="8" t="n"/>
      <c r="F862" s="11" t="n"/>
    </row>
    <row r="863" ht="15.75" customHeight="1" s="39">
      <c r="D863" s="8" t="n"/>
      <c r="F863" s="11" t="n"/>
    </row>
    <row r="864" ht="15.75" customHeight="1" s="39">
      <c r="D864" s="8" t="n"/>
      <c r="F864" s="11" t="n"/>
    </row>
    <row r="865" ht="15.75" customHeight="1" s="39">
      <c r="D865" s="8" t="n"/>
      <c r="F865" s="11" t="n"/>
    </row>
    <row r="866" ht="15.75" customHeight="1" s="39">
      <c r="D866" s="8" t="n"/>
      <c r="F866" s="11" t="n"/>
    </row>
    <row r="867" ht="15.75" customHeight="1" s="39">
      <c r="D867" s="8" t="n"/>
      <c r="F867" s="11" t="n"/>
    </row>
    <row r="868" ht="15.75" customHeight="1" s="39">
      <c r="D868" s="8" t="n"/>
      <c r="F868" s="11" t="n"/>
    </row>
    <row r="869" ht="15.75" customHeight="1" s="39">
      <c r="D869" s="8" t="n"/>
      <c r="F869" s="11" t="n"/>
    </row>
    <row r="870" ht="15.75" customHeight="1" s="39">
      <c r="D870" s="8" t="n"/>
      <c r="F870" s="11" t="n"/>
    </row>
    <row r="871" ht="15.75" customHeight="1" s="39">
      <c r="D871" s="8" t="n"/>
      <c r="F871" s="11" t="n"/>
    </row>
    <row r="872" ht="15.75" customHeight="1" s="39">
      <c r="D872" s="8" t="n"/>
      <c r="F872" s="11" t="n"/>
    </row>
    <row r="873" ht="15.75" customHeight="1" s="39">
      <c r="D873" s="8" t="n"/>
      <c r="F873" s="11" t="n"/>
    </row>
    <row r="874" ht="15.75" customHeight="1" s="39">
      <c r="D874" s="8" t="n"/>
      <c r="F874" s="11" t="n"/>
    </row>
    <row r="875" ht="15.75" customHeight="1" s="39">
      <c r="D875" s="8" t="n"/>
      <c r="F875" s="11" t="n"/>
    </row>
    <row r="876" ht="15.75" customHeight="1" s="39">
      <c r="D876" s="8" t="n"/>
      <c r="F876" s="11" t="n"/>
    </row>
    <row r="877" ht="15.75" customHeight="1" s="39">
      <c r="D877" s="8" t="n"/>
      <c r="F877" s="11" t="n"/>
    </row>
    <row r="878" ht="15.75" customHeight="1" s="39">
      <c r="D878" s="8" t="n"/>
      <c r="F878" s="11" t="n"/>
    </row>
    <row r="879" ht="15.75" customHeight="1" s="39">
      <c r="D879" s="8" t="n"/>
      <c r="F879" s="11" t="n"/>
    </row>
    <row r="880" ht="15.75" customHeight="1" s="39">
      <c r="D880" s="8" t="n"/>
      <c r="F880" s="11" t="n"/>
    </row>
    <row r="881" ht="15.75" customHeight="1" s="39">
      <c r="D881" s="8" t="n"/>
      <c r="F881" s="11" t="n"/>
    </row>
    <row r="882" ht="15.75" customHeight="1" s="39">
      <c r="D882" s="8" t="n"/>
      <c r="F882" s="11" t="n"/>
    </row>
    <row r="883" ht="15.75" customHeight="1" s="39">
      <c r="D883" s="8" t="n"/>
      <c r="F883" s="11" t="n"/>
    </row>
    <row r="884" ht="15.75" customHeight="1" s="39">
      <c r="D884" s="8" t="n"/>
      <c r="F884" s="11" t="n"/>
    </row>
    <row r="885" ht="15.75" customHeight="1" s="39">
      <c r="D885" s="8" t="n"/>
      <c r="F885" s="11" t="n"/>
    </row>
    <row r="886" ht="15.75" customHeight="1" s="39">
      <c r="D886" s="8" t="n"/>
      <c r="F886" s="11" t="n"/>
    </row>
    <row r="887" ht="15.75" customHeight="1" s="39">
      <c r="D887" s="8" t="n"/>
      <c r="F887" s="11" t="n"/>
    </row>
    <row r="888" ht="15.75" customHeight="1" s="39">
      <c r="D888" s="8" t="n"/>
      <c r="F888" s="11" t="n"/>
    </row>
    <row r="889" ht="15.75" customHeight="1" s="39">
      <c r="D889" s="8" t="n"/>
      <c r="F889" s="11" t="n"/>
    </row>
    <row r="890" ht="15.75" customHeight="1" s="39">
      <c r="D890" s="8" t="n"/>
      <c r="F890" s="11" t="n"/>
    </row>
    <row r="891" ht="15.75" customHeight="1" s="39">
      <c r="D891" s="8" t="n"/>
      <c r="F891" s="11" t="n"/>
    </row>
    <row r="892" ht="15.75" customHeight="1" s="39">
      <c r="D892" s="8" t="n"/>
      <c r="F892" s="11" t="n"/>
    </row>
    <row r="893" ht="15.75" customHeight="1" s="39">
      <c r="D893" s="8" t="n"/>
      <c r="F893" s="11" t="n"/>
    </row>
    <row r="894" ht="15.75" customHeight="1" s="39">
      <c r="D894" s="8" t="n"/>
      <c r="F894" s="11" t="n"/>
    </row>
    <row r="895" ht="15.75" customHeight="1" s="39">
      <c r="D895" s="8" t="n"/>
      <c r="F895" s="11" t="n"/>
    </row>
    <row r="896" ht="15.75" customHeight="1" s="39">
      <c r="D896" s="8" t="n"/>
      <c r="F896" s="11" t="n"/>
    </row>
    <row r="897" ht="15.75" customHeight="1" s="39">
      <c r="D897" s="8" t="n"/>
      <c r="F897" s="11" t="n"/>
    </row>
    <row r="898" ht="15.75" customHeight="1" s="39">
      <c r="D898" s="8" t="n"/>
      <c r="F898" s="11" t="n"/>
    </row>
    <row r="899" ht="15.75" customHeight="1" s="39">
      <c r="D899" s="8" t="n"/>
      <c r="F899" s="11" t="n"/>
    </row>
    <row r="900" ht="15.75" customHeight="1" s="39">
      <c r="D900" s="8" t="n"/>
      <c r="F900" s="11" t="n"/>
    </row>
    <row r="901" ht="15.75" customHeight="1" s="39">
      <c r="D901" s="8" t="n"/>
      <c r="F901" s="11" t="n"/>
    </row>
    <row r="902" ht="15.75" customHeight="1" s="39">
      <c r="D902" s="8" t="n"/>
      <c r="F902" s="11" t="n"/>
    </row>
    <row r="903" ht="15.75" customHeight="1" s="39">
      <c r="D903" s="8" t="n"/>
      <c r="F903" s="11" t="n"/>
    </row>
    <row r="904" ht="15.75" customHeight="1" s="39">
      <c r="D904" s="8" t="n"/>
      <c r="F904" s="11" t="n"/>
    </row>
    <row r="905" ht="15.75" customHeight="1" s="39">
      <c r="D905" s="8" t="n"/>
      <c r="F905" s="11" t="n"/>
    </row>
    <row r="906" ht="15.75" customHeight="1" s="39">
      <c r="D906" s="8" t="n"/>
      <c r="F906" s="11" t="n"/>
    </row>
    <row r="907" ht="15.75" customHeight="1" s="39">
      <c r="D907" s="8" t="n"/>
      <c r="F907" s="11" t="n"/>
    </row>
    <row r="908" ht="15.75" customHeight="1" s="39">
      <c r="D908" s="8" t="n"/>
      <c r="F908" s="11" t="n"/>
    </row>
    <row r="909" ht="15.75" customHeight="1" s="39">
      <c r="D909" s="8" t="n"/>
      <c r="F909" s="11" t="n"/>
    </row>
    <row r="910" ht="15.75" customHeight="1" s="39">
      <c r="D910" s="8" t="n"/>
      <c r="F910" s="11" t="n"/>
    </row>
    <row r="911" ht="15.75" customHeight="1" s="39">
      <c r="D911" s="8" t="n"/>
      <c r="F911" s="11" t="n"/>
    </row>
    <row r="912" ht="15.75" customHeight="1" s="39">
      <c r="D912" s="8" t="n"/>
      <c r="F912" s="11" t="n"/>
    </row>
    <row r="913" ht="15.75" customHeight="1" s="39">
      <c r="D913" s="8" t="n"/>
      <c r="F913" s="11" t="n"/>
    </row>
    <row r="914" ht="15.75" customHeight="1" s="39">
      <c r="D914" s="8" t="n"/>
      <c r="F914" s="11" t="n"/>
    </row>
    <row r="915" ht="15.75" customHeight="1" s="39">
      <c r="D915" s="8" t="n"/>
      <c r="F915" s="11" t="n"/>
    </row>
    <row r="916" ht="15.75" customHeight="1" s="39">
      <c r="D916" s="8" t="n"/>
      <c r="F916" s="11" t="n"/>
    </row>
    <row r="917" ht="15.75" customHeight="1" s="39">
      <c r="D917" s="8" t="n"/>
      <c r="F917" s="11" t="n"/>
    </row>
    <row r="918" ht="15.75" customHeight="1" s="39">
      <c r="D918" s="8" t="n"/>
      <c r="F918" s="11" t="n"/>
    </row>
    <row r="919" ht="15.75" customHeight="1" s="39">
      <c r="D919" s="8" t="n"/>
      <c r="F919" s="11" t="n"/>
    </row>
    <row r="920" ht="15.75" customHeight="1" s="39">
      <c r="D920" s="8" t="n"/>
      <c r="F920" s="11" t="n"/>
    </row>
    <row r="921" ht="15.75" customHeight="1" s="39">
      <c r="D921" s="8" t="n"/>
      <c r="F921" s="11" t="n"/>
    </row>
    <row r="922" ht="15.75" customHeight="1" s="39">
      <c r="D922" s="8" t="n"/>
      <c r="F922" s="11" t="n"/>
    </row>
    <row r="923" ht="15.75" customHeight="1" s="39">
      <c r="D923" s="8" t="n"/>
      <c r="F923" s="11" t="n"/>
    </row>
    <row r="924" ht="15.75" customHeight="1" s="39">
      <c r="D924" s="8" t="n"/>
      <c r="F924" s="11" t="n"/>
    </row>
    <row r="925" ht="15.75" customHeight="1" s="39">
      <c r="D925" s="8" t="n"/>
      <c r="F925" s="11" t="n"/>
    </row>
    <row r="926" ht="15.75" customHeight="1" s="39">
      <c r="D926" s="8" t="n"/>
      <c r="F926" s="11" t="n"/>
    </row>
    <row r="927" ht="15.75" customHeight="1" s="39">
      <c r="D927" s="8" t="n"/>
      <c r="F927" s="11" t="n"/>
    </row>
    <row r="928" ht="15.75" customHeight="1" s="39">
      <c r="D928" s="8" t="n"/>
      <c r="F928" s="11" t="n"/>
    </row>
    <row r="929" ht="15.75" customHeight="1" s="39">
      <c r="D929" s="8" t="n"/>
      <c r="F929" s="11" t="n"/>
    </row>
    <row r="930" ht="15.75" customHeight="1" s="39">
      <c r="D930" s="8" t="n"/>
      <c r="F930" s="11" t="n"/>
    </row>
    <row r="931" ht="15.75" customHeight="1" s="39">
      <c r="D931" s="8" t="n"/>
      <c r="F931" s="11" t="n"/>
    </row>
    <row r="932" ht="15.75" customHeight="1" s="39">
      <c r="D932" s="8" t="n"/>
      <c r="F932" s="11" t="n"/>
    </row>
    <row r="933" ht="15.75" customHeight="1" s="39">
      <c r="D933" s="8" t="n"/>
      <c r="F933" s="11" t="n"/>
    </row>
    <row r="934" ht="15.75" customHeight="1" s="39">
      <c r="D934" s="8" t="n"/>
      <c r="F934" s="11" t="n"/>
    </row>
    <row r="935" ht="15.75" customHeight="1" s="39">
      <c r="D935" s="8" t="n"/>
      <c r="F935" s="11" t="n"/>
    </row>
    <row r="936" ht="15.75" customHeight="1" s="39">
      <c r="D936" s="8" t="n"/>
      <c r="F936" s="11" t="n"/>
    </row>
    <row r="937" ht="15.75" customHeight="1" s="39">
      <c r="D937" s="8" t="n"/>
      <c r="F937" s="11" t="n"/>
    </row>
    <row r="938" ht="15.75" customHeight="1" s="39">
      <c r="D938" s="8" t="n"/>
      <c r="F938" s="11" t="n"/>
    </row>
    <row r="939" ht="15.75" customHeight="1" s="39">
      <c r="D939" s="8" t="n"/>
      <c r="F939" s="11" t="n"/>
    </row>
    <row r="940" ht="15.75" customHeight="1" s="39">
      <c r="D940" s="8" t="n"/>
      <c r="F940" s="11" t="n"/>
    </row>
    <row r="941" ht="15.75" customHeight="1" s="39">
      <c r="D941" s="8" t="n"/>
      <c r="F941" s="11" t="n"/>
    </row>
    <row r="942" ht="15.75" customHeight="1" s="39">
      <c r="D942" s="8" t="n"/>
      <c r="F942" s="11" t="n"/>
    </row>
    <row r="943" ht="15.75" customHeight="1" s="39">
      <c r="D943" s="8" t="n"/>
      <c r="F943" s="11" t="n"/>
    </row>
    <row r="944" ht="15.75" customHeight="1" s="39">
      <c r="D944" s="8" t="n"/>
      <c r="F944" s="11" t="n"/>
    </row>
    <row r="945" ht="15.75" customHeight="1" s="39">
      <c r="D945" s="8" t="n"/>
      <c r="F945" s="11" t="n"/>
    </row>
    <row r="946" ht="15.75" customHeight="1" s="39">
      <c r="D946" s="8" t="n"/>
      <c r="F946" s="11" t="n"/>
    </row>
    <row r="947" ht="15.75" customHeight="1" s="39">
      <c r="D947" s="8" t="n"/>
      <c r="F947" s="11" t="n"/>
    </row>
    <row r="948" ht="15.75" customHeight="1" s="39">
      <c r="D948" s="8" t="n"/>
      <c r="F948" s="11" t="n"/>
    </row>
    <row r="949" ht="15.75" customHeight="1" s="39">
      <c r="D949" s="8" t="n"/>
      <c r="F949" s="11" t="n"/>
    </row>
    <row r="950" ht="15.75" customHeight="1" s="39">
      <c r="D950" s="8" t="n"/>
      <c r="F950" s="11" t="n"/>
    </row>
    <row r="951" ht="15.75" customHeight="1" s="39">
      <c r="D951" s="8" t="n"/>
      <c r="F951" s="11" t="n"/>
    </row>
    <row r="952" ht="15.75" customHeight="1" s="39">
      <c r="D952" s="8" t="n"/>
      <c r="F952" s="11" t="n"/>
    </row>
    <row r="953" ht="15.75" customHeight="1" s="39">
      <c r="D953" s="8" t="n"/>
      <c r="F953" s="11" t="n"/>
    </row>
    <row r="954" ht="15.75" customHeight="1" s="39">
      <c r="D954" s="8" t="n"/>
      <c r="F954" s="11" t="n"/>
    </row>
    <row r="955" ht="15.75" customHeight="1" s="39">
      <c r="D955" s="8" t="n"/>
      <c r="F955" s="11" t="n"/>
    </row>
    <row r="956" ht="15.75" customHeight="1" s="39">
      <c r="D956" s="8" t="n"/>
      <c r="F956" s="11" t="n"/>
    </row>
    <row r="957" ht="15.75" customHeight="1" s="39">
      <c r="D957" s="8" t="n"/>
      <c r="F957" s="11" t="n"/>
    </row>
    <row r="958" ht="15.75" customHeight="1" s="39">
      <c r="D958" s="8" t="n"/>
      <c r="F958" s="11" t="n"/>
    </row>
    <row r="959" ht="15.75" customHeight="1" s="39">
      <c r="D959" s="8" t="n"/>
      <c r="F959" s="11" t="n"/>
    </row>
    <row r="960" ht="15.75" customHeight="1" s="39">
      <c r="D960" s="8" t="n"/>
      <c r="F960" s="11" t="n"/>
    </row>
    <row r="961" ht="15.75" customHeight="1" s="39">
      <c r="D961" s="8" t="n"/>
      <c r="F961" s="11" t="n"/>
    </row>
    <row r="962" ht="15.75" customHeight="1" s="39">
      <c r="D962" s="8" t="n"/>
      <c r="F962" s="11" t="n"/>
    </row>
    <row r="963" ht="15.75" customHeight="1" s="39">
      <c r="D963" s="8" t="n"/>
      <c r="F963" s="11" t="n"/>
    </row>
    <row r="964" ht="15.75" customHeight="1" s="39">
      <c r="D964" s="8" t="n"/>
      <c r="F964" s="11" t="n"/>
    </row>
    <row r="965" ht="15.75" customHeight="1" s="39">
      <c r="D965" s="8" t="n"/>
      <c r="F965" s="11" t="n"/>
    </row>
    <row r="966" ht="15.75" customHeight="1" s="39">
      <c r="D966" s="8" t="n"/>
      <c r="F966" s="11" t="n"/>
    </row>
    <row r="967" ht="15.75" customHeight="1" s="39">
      <c r="D967" s="8" t="n"/>
      <c r="F967" s="11" t="n"/>
    </row>
    <row r="968" ht="15.75" customHeight="1" s="39">
      <c r="D968" s="8" t="n"/>
      <c r="F968" s="11" t="n"/>
    </row>
    <row r="969" ht="15.75" customHeight="1" s="39">
      <c r="D969" s="8" t="n"/>
      <c r="F969" s="11" t="n"/>
    </row>
    <row r="970" ht="15.75" customHeight="1" s="39">
      <c r="D970" s="8" t="n"/>
      <c r="F970" s="11" t="n"/>
    </row>
    <row r="971" ht="15.75" customHeight="1" s="39">
      <c r="D971" s="8" t="n"/>
      <c r="F971" s="11" t="n"/>
    </row>
    <row r="972" ht="15.75" customHeight="1" s="39">
      <c r="D972" s="8" t="n"/>
      <c r="F972" s="11" t="n"/>
    </row>
    <row r="973" ht="15.75" customHeight="1" s="39">
      <c r="D973" s="8" t="n"/>
      <c r="F973" s="11" t="n"/>
    </row>
    <row r="974" ht="15.75" customHeight="1" s="39">
      <c r="D974" s="8" t="n"/>
      <c r="F974" s="11" t="n"/>
    </row>
    <row r="975" ht="15.75" customHeight="1" s="39">
      <c r="D975" s="8" t="n"/>
      <c r="F975" s="11" t="n"/>
    </row>
    <row r="976" ht="15.75" customHeight="1" s="39">
      <c r="D976" s="8" t="n"/>
      <c r="F976" s="11" t="n"/>
    </row>
    <row r="977" ht="15.75" customHeight="1" s="39">
      <c r="D977" s="8" t="n"/>
      <c r="F977" s="11" t="n"/>
    </row>
    <row r="978" ht="15.75" customHeight="1" s="39">
      <c r="D978" s="8" t="n"/>
      <c r="F978" s="11" t="n"/>
    </row>
    <row r="979" ht="15.75" customHeight="1" s="39">
      <c r="D979" s="8" t="n"/>
      <c r="F979" s="11" t="n"/>
    </row>
    <row r="980" ht="15.75" customHeight="1" s="39">
      <c r="D980" s="8" t="n"/>
      <c r="F980" s="11" t="n"/>
    </row>
    <row r="981" ht="15.75" customHeight="1" s="39">
      <c r="D981" s="8" t="n"/>
      <c r="F981" s="11" t="n"/>
    </row>
    <row r="982" ht="15.75" customHeight="1" s="39">
      <c r="D982" s="8" t="n"/>
      <c r="F982" s="11" t="n"/>
    </row>
    <row r="983" ht="15.75" customHeight="1" s="39">
      <c r="D983" s="8" t="n"/>
      <c r="F983" s="11" t="n"/>
    </row>
    <row r="984" ht="15.75" customHeight="1" s="39">
      <c r="D984" s="8" t="n"/>
      <c r="F984" s="11" t="n"/>
    </row>
    <row r="985" ht="15.75" customHeight="1" s="39">
      <c r="D985" s="8" t="n"/>
      <c r="F985" s="11" t="n"/>
    </row>
    <row r="986" ht="15.75" customHeight="1" s="39">
      <c r="D986" s="8" t="n"/>
      <c r="F986" s="11" t="n"/>
    </row>
    <row r="987" ht="15.75" customHeight="1" s="39">
      <c r="D987" s="8" t="n"/>
      <c r="F987" s="11" t="n"/>
    </row>
    <row r="988" ht="15.75" customHeight="1" s="39">
      <c r="D988" s="8" t="n"/>
      <c r="F988" s="11" t="n"/>
    </row>
    <row r="989" ht="15.75" customHeight="1" s="39">
      <c r="D989" s="8" t="n"/>
      <c r="F989" s="11" t="n"/>
    </row>
    <row r="990" ht="15.75" customHeight="1" s="39">
      <c r="D990" s="8" t="n"/>
      <c r="F990" s="11" t="n"/>
    </row>
    <row r="991" ht="15.75" customHeight="1" s="39">
      <c r="D991" s="8" t="n"/>
      <c r="F991" s="11" t="n"/>
    </row>
    <row r="992" ht="15.75" customHeight="1" s="39">
      <c r="D992" s="8" t="n"/>
      <c r="F992" s="11" t="n"/>
    </row>
    <row r="993" ht="15.75" customHeight="1" s="39">
      <c r="D993" s="8" t="n"/>
      <c r="F993" s="11" t="n"/>
    </row>
    <row r="994" ht="15.75" customHeight="1" s="39">
      <c r="D994" s="8" t="n"/>
      <c r="F994" s="11" t="n"/>
    </row>
    <row r="995" ht="15.75" customHeight="1" s="39">
      <c r="D995" s="8" t="n"/>
      <c r="F995" s="11" t="n"/>
    </row>
    <row r="996" ht="15.75" customHeight="1" s="39">
      <c r="D996" s="8" t="n"/>
      <c r="F996" s="11" t="n"/>
    </row>
    <row r="997" ht="15.75" customHeight="1" s="39">
      <c r="D997" s="8" t="n"/>
      <c r="F997" s="11" t="n"/>
    </row>
    <row r="998" ht="15.75" customHeight="1" s="39">
      <c r="D998" s="8" t="n"/>
      <c r="F998" s="11" t="n"/>
    </row>
    <row r="999" ht="15.75" customHeight="1" s="39">
      <c r="D999" s="8" t="n"/>
      <c r="F999" s="11" t="n"/>
    </row>
    <row r="1000" ht="15.75" customHeight="1" s="39">
      <c r="D1000" s="8" t="n"/>
      <c r="F1000" s="11" t="n"/>
    </row>
  </sheetData>
  <mergeCells count="1">
    <mergeCell ref="A1:K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R1012"/>
  <sheetViews>
    <sheetView tabSelected="1" topLeftCell="A2" workbookViewId="0">
      <selection activeCell="B35" sqref="B35:D36"/>
    </sheetView>
  </sheetViews>
  <sheetFormatPr baseColWidth="8" defaultColWidth="14.42578125" defaultRowHeight="15" customHeight="1"/>
  <cols>
    <col width="17.85546875" customWidth="1" style="39" min="1" max="2"/>
    <col width="74" customWidth="1" style="39" min="3" max="3"/>
    <col width="12" customWidth="1" style="39" min="4" max="4"/>
    <col width="43.28515625" customWidth="1" style="39" min="5" max="5"/>
    <col width="17.42578125" customWidth="1" style="39" min="6" max="6"/>
    <col width="23.85546875" customWidth="1" style="39" min="7" max="7"/>
    <col width="42" customWidth="1" style="39" min="13" max="13"/>
    <col width="74" customWidth="1" style="39" min="14" max="14"/>
    <col width="21.5703125" customWidth="1" style="39" min="15" max="15"/>
    <col width="14.42578125" customWidth="1" style="35" min="19" max="27"/>
  </cols>
  <sheetData>
    <row r="1" ht="21" customHeight="1" s="39">
      <c r="A1" s="33" t="n"/>
      <c r="B1" s="49" t="inlineStr">
        <is>
          <t>Refinement session #03 - 12/11/2025</t>
        </is>
      </c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</row>
    <row r="2">
      <c r="A2" s="14" t="n"/>
      <c r="B2" s="14" t="inlineStr">
        <is>
          <t>Date</t>
        </is>
      </c>
      <c r="C2" s="15" t="n">
        <v>45973</v>
      </c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</row>
    <row r="3">
      <c r="A3" s="14" t="n"/>
      <c r="B3" s="14" t="inlineStr">
        <is>
          <t>Time</t>
        </is>
      </c>
      <c r="C3" s="16" t="n">
        <v>0.4166666666666667</v>
      </c>
      <c r="D3" s="14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</row>
    <row r="4">
      <c r="A4" s="14" t="n"/>
      <c r="B4" s="17" t="inlineStr">
        <is>
          <t>Topics</t>
        </is>
      </c>
      <c r="C4" s="18" t="inlineStr">
        <is>
          <t>Gear Management</t>
        </is>
      </c>
      <c r="D4" s="14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</row>
    <row r="5">
      <c r="A5" s="14" t="n"/>
      <c r="B5" s="14" t="inlineStr">
        <is>
          <t>Goal</t>
        </is>
      </c>
      <c r="C5" s="35" t="inlineStr">
        <is>
          <t>All items must be "Ready" by the end of Sprint #02</t>
        </is>
      </c>
      <c r="D5" s="14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</row>
    <row r="6">
      <c r="A6" s="35" t="n"/>
      <c r="B6" s="14" t="inlineStr">
        <is>
          <t>Sprint</t>
        </is>
      </c>
      <c r="C6" s="35" t="n">
        <v>2</v>
      </c>
      <c r="D6" s="14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</row>
    <row r="7" ht="21" customHeight="1" s="39">
      <c r="A7" s="34" t="n"/>
      <c r="B7" s="50" t="inlineStr">
        <is>
          <t>Agenda for Refinement session #03</t>
        </is>
      </c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</row>
    <row r="8">
      <c r="A8" s="14" t="n"/>
      <c r="B8" s="14" t="inlineStr">
        <is>
          <t>Story Number</t>
        </is>
      </c>
      <c r="C8" s="14" t="inlineStr">
        <is>
          <t>Summary</t>
        </is>
      </c>
      <c r="D8" s="14" t="inlineStr">
        <is>
          <t>Status</t>
        </is>
      </c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</row>
    <row r="9" ht="28.5" customHeight="1" s="39">
      <c r="A9" s="20" t="n"/>
      <c r="B9" s="20" t="inlineStr">
        <is>
          <t>SSF-141</t>
        </is>
      </c>
      <c r="C9" s="20" t="inlineStr">
        <is>
          <t>[MOB] Register new gear - Init Creation Form</t>
        </is>
      </c>
      <c r="D9" s="20" t="inlineStr">
        <is>
          <t>Ready</t>
        </is>
      </c>
      <c r="E9" s="20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</row>
    <row r="10">
      <c r="A10" s="20" t="n"/>
      <c r="D10" s="20" t="n"/>
      <c r="E10" s="20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</row>
    <row r="11" ht="28.5" customHeight="1" s="39">
      <c r="A11" s="20" t="n"/>
      <c r="B11" s="20" t="inlineStr">
        <is>
          <t>SSF-144</t>
        </is>
      </c>
      <c r="C11" s="20" t="inlineStr">
        <is>
          <t>[MOB] Vessel's Gear Screen - Gear List</t>
        </is>
      </c>
      <c r="D11" s="20" t="inlineStr">
        <is>
          <t>Ready</t>
        </is>
      </c>
      <c r="E11" s="20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</row>
    <row r="12">
      <c r="A12" s="20" t="n"/>
      <c r="E12" s="20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</row>
    <row r="13">
      <c r="A13" s="20" t="n"/>
      <c r="E13" s="20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</row>
    <row r="14">
      <c r="A14" s="20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</row>
    <row r="15">
      <c r="A15" s="36" t="n"/>
      <c r="B15" s="51" t="inlineStr">
        <is>
          <t>Gear Characteristics Workshop - 13/11/2025</t>
        </is>
      </c>
      <c r="H15" s="35" t="n"/>
      <c r="I15" s="35" t="n"/>
      <c r="K15" s="35" t="n"/>
      <c r="L15" s="35" t="n"/>
      <c r="M15" s="35" t="n"/>
      <c r="N15" s="35" t="n"/>
      <c r="O15" s="35" t="n"/>
      <c r="P15" s="35" t="n"/>
      <c r="Q15" s="35" t="n"/>
      <c r="R15" s="35" t="n"/>
    </row>
    <row r="16">
      <c r="A16" s="20" t="n"/>
      <c r="B16" s="22" t="inlineStr">
        <is>
          <t>Date</t>
        </is>
      </c>
      <c r="C16" s="20" t="n"/>
      <c r="D16" s="20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</row>
    <row r="17">
      <c r="A17" s="20" t="n"/>
      <c r="B17" s="22" t="inlineStr">
        <is>
          <t>Sprint</t>
        </is>
      </c>
      <c r="C17" s="38" t="n">
        <v>2</v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</row>
    <row r="18">
      <c r="A18" s="20" t="n"/>
      <c r="B18" s="50" t="inlineStr">
        <is>
          <t>Agenda for the Workshop</t>
        </is>
      </c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</row>
    <row r="19">
      <c r="A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</row>
    <row r="20">
      <c r="A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</row>
    <row r="21">
      <c r="A21" s="23" t="n"/>
      <c r="F21" s="23" t="n"/>
      <c r="G21" s="23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</row>
    <row r="22">
      <c r="A22" s="33" t="n"/>
      <c r="B22" s="49" t="inlineStr">
        <is>
          <t>Refinement session #04</t>
        </is>
      </c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</row>
    <row r="23">
      <c r="A23" s="14" t="n"/>
      <c r="B23" s="14" t="inlineStr">
        <is>
          <t>Date</t>
        </is>
      </c>
      <c r="C23" s="24" t="n">
        <v>45973</v>
      </c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</row>
    <row r="24">
      <c r="A24" s="14" t="n"/>
      <c r="B24" s="14" t="inlineStr">
        <is>
          <t>Time</t>
        </is>
      </c>
      <c r="C24" s="16" t="n">
        <v>0.4166666666666667</v>
      </c>
      <c r="D24" s="14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</row>
    <row r="25">
      <c r="A25" s="14" t="n"/>
      <c r="B25" s="17" t="inlineStr">
        <is>
          <t>Topics</t>
        </is>
      </c>
      <c r="C25" s="18" t="inlineStr">
        <is>
          <t>Gear Management</t>
        </is>
      </c>
      <c r="D25" s="14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</row>
    <row r="26">
      <c r="A26" s="14" t="n"/>
      <c r="B26" s="14" t="inlineStr">
        <is>
          <t>Goal</t>
        </is>
      </c>
      <c r="C26" s="35" t="inlineStr">
        <is>
          <t>All items must be "Ready" by the end of Sprint #02</t>
        </is>
      </c>
      <c r="D26" s="14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</row>
    <row r="27">
      <c r="A27" s="35" t="n"/>
      <c r="B27" s="14" t="inlineStr">
        <is>
          <t>Sprint</t>
        </is>
      </c>
      <c r="C27" s="35" t="n">
        <v>2</v>
      </c>
      <c r="D27" s="14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</row>
    <row r="28">
      <c r="A28" s="34" t="n"/>
      <c r="B28" s="50" t="inlineStr">
        <is>
          <t>Agenda for Refinement session #04</t>
        </is>
      </c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</row>
    <row r="29">
      <c r="A29" s="14" t="n"/>
      <c r="B29" s="14" t="inlineStr">
        <is>
          <t>Story Number</t>
        </is>
      </c>
      <c r="C29" s="14" t="inlineStr">
        <is>
          <t>Summary</t>
        </is>
      </c>
      <c r="D29" s="14" t="inlineStr">
        <is>
          <t>Status</t>
        </is>
      </c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</row>
    <row r="30">
      <c r="B30" s="20" t="inlineStr">
        <is>
          <t>SSF-143</t>
        </is>
      </c>
      <c r="C30" s="20" t="inlineStr">
        <is>
          <t>[MOB] Register new gear - Gear characteristics</t>
        </is>
      </c>
      <c r="D30" s="20" t="inlineStr">
        <is>
          <t>Open</t>
        </is>
      </c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</row>
    <row r="31">
      <c r="B31" s="20" t="inlineStr">
        <is>
          <t>SSF-147</t>
        </is>
      </c>
      <c r="C31" s="20" t="inlineStr">
        <is>
          <t>[BACK] Register new gear</t>
        </is>
      </c>
      <c r="D31" s="20" t="inlineStr">
        <is>
          <t>Open</t>
        </is>
      </c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</row>
    <row r="32">
      <c r="B32" s="20" t="inlineStr">
        <is>
          <t>SSF-142</t>
        </is>
      </c>
      <c r="C32" s="20" t="inlineStr">
        <is>
          <t>[MOB] Register new gear - Form submission</t>
        </is>
      </c>
      <c r="D32" s="20" t="inlineStr">
        <is>
          <t>Open</t>
        </is>
      </c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</row>
    <row r="33">
      <c r="E33" s="20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</row>
    <row r="34">
      <c r="E34" s="20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</row>
    <row r="35">
      <c r="B35" s="20" t="inlineStr">
        <is>
          <t>SSF-148</t>
        </is>
      </c>
      <c r="C35" s="20" t="inlineStr">
        <is>
          <t>[BACK] List of vessel's gear - New Gear</t>
        </is>
      </c>
      <c r="D35" s="20" t="inlineStr">
        <is>
          <t>Open</t>
        </is>
      </c>
      <c r="E35" s="20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</row>
    <row r="36">
      <c r="B36" s="20" t="inlineStr">
        <is>
          <t>SSF-149</t>
        </is>
      </c>
      <c r="C36" s="20" t="inlineStr">
        <is>
          <t>[BACK] List of vessel's gear - Retrieval</t>
        </is>
      </c>
      <c r="D36" s="20" t="inlineStr">
        <is>
          <t>Open</t>
        </is>
      </c>
      <c r="E36" s="20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</row>
    <row r="37">
      <c r="A37" s="20" t="n"/>
      <c r="B37" s="20" t="inlineStr">
        <is>
          <t>SSF-145</t>
        </is>
      </c>
      <c r="C37" s="20" t="inlineStr">
        <is>
          <t>[MOB] Edit Gear</t>
        </is>
      </c>
      <c r="D37" s="20" t="inlineStr">
        <is>
          <t>Open</t>
        </is>
      </c>
      <c r="E37" s="20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</row>
    <row r="38">
      <c r="A38" s="20" t="n"/>
      <c r="B38" s="20" t="inlineStr">
        <is>
          <t>SSF-150</t>
        </is>
      </c>
      <c r="C38" s="20" t="inlineStr">
        <is>
          <t>[BACK] Edit Gear</t>
        </is>
      </c>
      <c r="D38" s="20" t="inlineStr">
        <is>
          <t>Open</t>
        </is>
      </c>
      <c r="E38" s="20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</row>
    <row r="39">
      <c r="A39" s="20" t="n"/>
      <c r="B39" s="20" t="inlineStr">
        <is>
          <t>SSF-188</t>
        </is>
      </c>
      <c r="C39" s="20" t="inlineStr">
        <is>
          <t>[MOB] Error Management / Messages</t>
        </is>
      </c>
      <c r="D39" s="20" t="inlineStr">
        <is>
          <t>Open</t>
        </is>
      </c>
      <c r="E39" s="20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</row>
    <row r="40">
      <c r="A40" s="20" t="n"/>
      <c r="B40" s="20" t="inlineStr">
        <is>
          <t>SSF-152</t>
        </is>
      </c>
      <c r="C40" s="20" t="inlineStr">
        <is>
          <t>[BACK] Error Management / Security</t>
        </is>
      </c>
      <c r="D40" s="20" t="inlineStr">
        <is>
          <t>Open</t>
        </is>
      </c>
      <c r="E40" s="20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</row>
    <row r="41">
      <c r="A41" s="20" t="n"/>
      <c r="B41" s="20" t="inlineStr">
        <is>
          <t>SSF-146</t>
        </is>
      </c>
      <c r="C41" s="20" t="inlineStr">
        <is>
          <t>[MOB] Delete Gear</t>
        </is>
      </c>
      <c r="D41" s="20" t="inlineStr">
        <is>
          <t>Open</t>
        </is>
      </c>
      <c r="E41" s="20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</row>
    <row r="42">
      <c r="A42" s="20" t="n"/>
      <c r="B42" s="20" t="inlineStr">
        <is>
          <t>SSF-151</t>
        </is>
      </c>
      <c r="C42" s="20" t="inlineStr">
        <is>
          <t>[BACK] Delete Gear</t>
        </is>
      </c>
      <c r="D42" s="20" t="inlineStr">
        <is>
          <t>Open</t>
        </is>
      </c>
      <c r="E42" s="20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</row>
    <row r="43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</row>
    <row r="44">
      <c r="A44" s="33" t="n"/>
      <c r="B44" s="49" t="inlineStr">
        <is>
          <t>Refinement session #05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</row>
    <row r="45">
      <c r="A45" s="14" t="n"/>
      <c r="B45" s="14" t="inlineStr">
        <is>
          <t>Date</t>
        </is>
      </c>
      <c r="C45" s="24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</row>
    <row r="46">
      <c r="A46" s="14" t="n"/>
      <c r="B46" s="14" t="inlineStr">
        <is>
          <t>Time</t>
        </is>
      </c>
      <c r="C46" s="16" t="n"/>
      <c r="D46" s="14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</row>
    <row r="47">
      <c r="A47" s="14" t="n"/>
      <c r="B47" s="17" t="inlineStr">
        <is>
          <t>Topics</t>
        </is>
      </c>
      <c r="C47" s="18" t="inlineStr">
        <is>
          <t>Departure Declaration</t>
        </is>
      </c>
      <c r="D47" s="14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</row>
    <row r="48">
      <c r="A48" s="14" t="n"/>
      <c r="B48" s="14" t="inlineStr">
        <is>
          <t>Goal</t>
        </is>
      </c>
      <c r="C48" s="35" t="inlineStr">
        <is>
          <t>All items must be "Ready" by the end of Sprint #03</t>
        </is>
      </c>
      <c r="D48" s="14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</row>
    <row r="49">
      <c r="A49" s="35" t="n"/>
      <c r="B49" s="35" t="inlineStr">
        <is>
          <t>Sprint</t>
        </is>
      </c>
      <c r="C49" s="35" t="n">
        <v>3</v>
      </c>
      <c r="D49" s="14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</row>
    <row r="50">
      <c r="A50" s="34" t="n"/>
      <c r="B50" s="50" t="inlineStr">
        <is>
          <t>Agenda for Refinement session #05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</row>
    <row r="51">
      <c r="A51" s="14" t="n"/>
      <c r="B51" s="14" t="inlineStr">
        <is>
          <t>Story Number</t>
        </is>
      </c>
      <c r="C51" s="14" t="inlineStr">
        <is>
          <t>Summary</t>
        </is>
      </c>
      <c r="D51" s="14" t="inlineStr">
        <is>
          <t>Status</t>
        </is>
      </c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</row>
    <row r="52">
      <c r="B52" s="25" t="inlineStr">
        <is>
          <t>?</t>
        </is>
      </c>
      <c r="C52" s="25" t="inlineStr">
        <is>
          <t>We don't have a Home screen button for the Departure Declaration</t>
        </is>
      </c>
      <c r="D52" s="25" t="inlineStr">
        <is>
          <t>?</t>
        </is>
      </c>
      <c r="E52" s="25" t="inlineStr">
        <is>
          <t>Departure Declaration</t>
        </is>
      </c>
      <c r="F52" s="25" t="n"/>
      <c r="G52" s="26" t="n"/>
      <c r="H52" s="25" t="n"/>
      <c r="I52" s="2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</row>
    <row r="53">
      <c r="A53" s="20" t="n"/>
      <c r="B53" s="25" t="inlineStr">
        <is>
          <t>SSF-189</t>
        </is>
      </c>
      <c r="C53" s="25" t="inlineStr">
        <is>
          <t>[MOB] Departure Port selection</t>
        </is>
      </c>
      <c r="D53" s="25" t="inlineStr">
        <is>
          <t>Open</t>
        </is>
      </c>
      <c r="E53" s="25" t="inlineStr">
        <is>
          <t>Departure Declaration</t>
        </is>
      </c>
      <c r="F53" s="35" t="n"/>
      <c r="G53" s="35" t="n"/>
      <c r="H53" s="35" t="n"/>
      <c r="I53" s="35" t="n"/>
      <c r="J53" s="35" t="n"/>
      <c r="Q53" s="25" t="n"/>
      <c r="R53" s="25" t="n"/>
    </row>
    <row r="54">
      <c r="A54" s="20" t="n"/>
      <c r="B54" s="25" t="inlineStr">
        <is>
          <t>SSF-191</t>
        </is>
      </c>
      <c r="C54" s="25" t="inlineStr">
        <is>
          <t>[MOB] Gears onboard</t>
        </is>
      </c>
      <c r="D54" s="25" t="inlineStr">
        <is>
          <t>Open</t>
        </is>
      </c>
      <c r="E54" s="25" t="inlineStr">
        <is>
          <t>Departure Declaration</t>
        </is>
      </c>
      <c r="F54" s="35" t="n"/>
      <c r="G54" s="35" t="n"/>
      <c r="H54" s="35" t="n"/>
      <c r="I54" s="35" t="n"/>
      <c r="J54" s="35" t="n"/>
      <c r="Q54" s="25" t="n"/>
      <c r="R54" s="25" t="n"/>
    </row>
    <row r="55">
      <c r="A55" s="20" t="n"/>
      <c r="B55" s="25" t="inlineStr">
        <is>
          <t>SSF-195</t>
        </is>
      </c>
      <c r="C55" s="25" t="inlineStr">
        <is>
          <t>[MOB] Declare Catches onboard</t>
        </is>
      </c>
      <c r="D55" s="25" t="inlineStr">
        <is>
          <t>Open</t>
        </is>
      </c>
      <c r="E55" s="25" t="inlineStr">
        <is>
          <t>Departure Declaration</t>
        </is>
      </c>
      <c r="F55" s="35" t="n"/>
      <c r="G55" s="35" t="n"/>
      <c r="H55" s="35" t="n"/>
      <c r="I55" s="35" t="n"/>
      <c r="J55" s="35" t="n"/>
      <c r="Q55" s="25" t="n"/>
      <c r="R55" s="25" t="n"/>
    </row>
    <row r="56">
      <c r="A56" s="20" t="n"/>
      <c r="B56" s="25" t="inlineStr">
        <is>
          <t>SSF-196</t>
        </is>
      </c>
      <c r="C56" s="25" t="inlineStr">
        <is>
          <t>[MOB] Catches preference</t>
        </is>
      </c>
      <c r="D56" s="25" t="inlineStr">
        <is>
          <t>Open</t>
        </is>
      </c>
      <c r="E56" s="25" t="inlineStr">
        <is>
          <t>Departure Declaration</t>
        </is>
      </c>
      <c r="F56" s="35" t="n"/>
      <c r="G56" s="35" t="n"/>
      <c r="H56" s="35" t="n"/>
      <c r="I56" s="35" t="n"/>
      <c r="J56" s="35" t="n"/>
      <c r="Q56" s="25" t="n"/>
      <c r="R56" s="25" t="n"/>
    </row>
    <row r="57">
      <c r="A57" s="20" t="n"/>
      <c r="B57" s="25" t="n"/>
      <c r="C57" s="25" t="n"/>
      <c r="D57" s="25" t="n"/>
      <c r="E57" s="25" t="n"/>
      <c r="F57" s="35" t="n"/>
      <c r="G57" s="35" t="n"/>
      <c r="H57" s="35" t="n"/>
      <c r="I57" s="35" t="n"/>
      <c r="J57" s="35" t="n"/>
      <c r="Q57" s="25" t="n"/>
      <c r="R57" s="25" t="n"/>
    </row>
    <row r="58">
      <c r="A58" s="33" t="n"/>
      <c r="B58" s="49" t="inlineStr">
        <is>
          <t>Refinement session #06</t>
        </is>
      </c>
      <c r="H58" s="35" t="n"/>
      <c r="I58" s="35" t="n"/>
      <c r="J58" s="35" t="n"/>
      <c r="K58" s="35" t="n"/>
      <c r="Q58" s="35" t="n"/>
      <c r="R58" s="35" t="n"/>
    </row>
    <row r="59">
      <c r="A59" s="14" t="n"/>
      <c r="B59" s="14" t="inlineStr">
        <is>
          <t>Date</t>
        </is>
      </c>
      <c r="C59" s="24" t="n"/>
      <c r="D59" s="35" t="n"/>
      <c r="E59" s="35" t="n"/>
      <c r="F59" s="35" t="n"/>
      <c r="G59" s="35" t="n"/>
      <c r="H59" s="35" t="n"/>
      <c r="I59" s="35" t="n"/>
      <c r="J59" s="35" t="n"/>
      <c r="K59" s="35" t="n"/>
      <c r="Q59" s="35" t="n"/>
      <c r="R59" s="35" t="n"/>
    </row>
    <row r="60">
      <c r="A60" s="14" t="n"/>
      <c r="B60" s="14" t="inlineStr">
        <is>
          <t>Time</t>
        </is>
      </c>
      <c r="C60" s="16" t="n"/>
      <c r="D60" s="14" t="n"/>
      <c r="E60" s="35" t="n"/>
      <c r="F60" s="35" t="n"/>
      <c r="G60" s="35" t="n"/>
      <c r="H60" s="35" t="n"/>
      <c r="I60" s="35" t="n"/>
      <c r="J60" s="35" t="n"/>
      <c r="K60" s="35" t="n"/>
      <c r="Q60" s="35" t="n"/>
      <c r="R60" s="35" t="n"/>
    </row>
    <row r="61">
      <c r="A61" s="14" t="n"/>
      <c r="B61" s="17" t="inlineStr">
        <is>
          <t>Topics</t>
        </is>
      </c>
      <c r="C61" s="18" t="inlineStr">
        <is>
          <t>Departure Declaration</t>
        </is>
      </c>
      <c r="D61" s="14" t="n"/>
      <c r="E61" s="35" t="n"/>
      <c r="F61" s="35" t="n"/>
      <c r="G61" s="35" t="n"/>
      <c r="H61" s="35" t="n"/>
      <c r="I61" s="35" t="n"/>
      <c r="J61" s="35" t="n"/>
      <c r="K61" s="35" t="n"/>
      <c r="P61" s="25" t="inlineStr">
        <is>
          <t>Hauls</t>
        </is>
      </c>
      <c r="Q61" s="35" t="n"/>
      <c r="R61" s="35" t="n"/>
    </row>
    <row r="62">
      <c r="A62" s="14" t="n"/>
      <c r="B62" s="14" t="inlineStr">
        <is>
          <t>Goal</t>
        </is>
      </c>
      <c r="C62" s="35" t="inlineStr">
        <is>
          <t>All the user stories in the agenda are "Ready"</t>
        </is>
      </c>
      <c r="D62" s="14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</row>
    <row r="63">
      <c r="A63" s="35" t="n"/>
      <c r="B63" s="14" t="inlineStr">
        <is>
          <t>Sprint</t>
        </is>
      </c>
      <c r="C63" s="35" t="n">
        <v>3</v>
      </c>
      <c r="D63" s="14" t="n"/>
      <c r="E63" s="35" t="n"/>
      <c r="F63" s="35" t="n"/>
      <c r="G63" s="35" t="n"/>
      <c r="H63" s="35" t="n"/>
      <c r="I63" s="35" t="n"/>
      <c r="J63" s="35" t="n"/>
      <c r="K63" s="35" t="n"/>
      <c r="Q63" s="35" t="n"/>
      <c r="R63" s="35" t="n"/>
    </row>
    <row r="64">
      <c r="A64" s="34" t="n"/>
      <c r="B64" s="50" t="inlineStr">
        <is>
          <t>Agenda for Refinement session #06</t>
        </is>
      </c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</row>
    <row r="65">
      <c r="A65" s="14" t="n"/>
      <c r="B65" s="14" t="inlineStr">
        <is>
          <t>Story Number</t>
        </is>
      </c>
      <c r="C65" s="14" t="inlineStr">
        <is>
          <t>Summary</t>
        </is>
      </c>
      <c r="D65" s="14" t="inlineStr">
        <is>
          <t>Status</t>
        </is>
      </c>
      <c r="E65" s="35" t="n"/>
      <c r="F65" s="35" t="n"/>
      <c r="G65" s="35" t="n"/>
      <c r="H65" s="35" t="n"/>
      <c r="I65" s="35" t="n"/>
      <c r="J65" s="35" t="n"/>
      <c r="K65" s="35" t="n"/>
      <c r="Q65" s="35" t="n"/>
      <c r="R65" s="35" t="n"/>
    </row>
    <row r="66">
      <c r="B66" s="25" t="inlineStr">
        <is>
          <t>SSF-190</t>
        </is>
      </c>
      <c r="C66" s="25" t="inlineStr">
        <is>
          <t>[BACK] Data import endpoint</t>
        </is>
      </c>
      <c r="D66" s="25" t="inlineStr">
        <is>
          <t>Open</t>
        </is>
      </c>
      <c r="E66" s="25" t="inlineStr">
        <is>
          <t>Departure Declaration</t>
        </is>
      </c>
      <c r="F66" s="35" t="n"/>
      <c r="G66" s="35" t="n"/>
      <c r="H66" s="35" t="n"/>
      <c r="I66" s="35" t="n"/>
      <c r="J66" s="35" t="n"/>
      <c r="K66" s="35" t="n"/>
      <c r="Q66" s="35" t="n"/>
      <c r="R66" s="35" t="n"/>
    </row>
    <row r="67">
      <c r="A67" s="20" t="n"/>
      <c r="B67" s="25" t="inlineStr">
        <is>
          <t>SSF-193</t>
        </is>
      </c>
      <c r="C67" s="25" t="inlineStr">
        <is>
          <t>[MOB] Departure Declaration Recap Screen</t>
        </is>
      </c>
      <c r="D67" s="25" t="inlineStr">
        <is>
          <t>Open</t>
        </is>
      </c>
      <c r="E67" s="25" t="inlineStr">
        <is>
          <t>Departure Declaration</t>
        </is>
      </c>
      <c r="F67" s="35" t="n"/>
      <c r="G67" s="35" t="n"/>
      <c r="H67" s="35" t="n"/>
      <c r="I67" s="35" t="n"/>
      <c r="J67" s="35" t="n"/>
      <c r="K67" s="35" t="n"/>
      <c r="Q67" s="35" t="n"/>
      <c r="R67" s="35" t="n"/>
    </row>
    <row r="68">
      <c r="A68" s="20" t="n"/>
      <c r="B68" s="25" t="inlineStr">
        <is>
          <t>SSF-194</t>
        </is>
      </c>
      <c r="C68" s="25" t="inlineStr">
        <is>
          <t>[MOB] Submit Departure Declaration</t>
        </is>
      </c>
      <c r="D68" s="25" t="inlineStr">
        <is>
          <t>Open</t>
        </is>
      </c>
      <c r="E68" s="25" t="inlineStr">
        <is>
          <t>Departure Declaration</t>
        </is>
      </c>
      <c r="F68" s="35" t="n"/>
      <c r="G68" s="35" t="n"/>
      <c r="H68" s="35" t="n"/>
      <c r="I68" s="35" t="n"/>
      <c r="J68" s="35" t="n"/>
      <c r="K68" s="35" t="n"/>
      <c r="Q68" s="35" t="n"/>
      <c r="R68" s="35" t="n"/>
    </row>
    <row r="69">
      <c r="A69" s="20" t="n"/>
      <c r="B69" s="25" t="inlineStr">
        <is>
          <t>SSF-192</t>
        </is>
      </c>
      <c r="C69" s="25" t="inlineStr">
        <is>
          <t>[BACK] Submit Departure Declaration</t>
        </is>
      </c>
      <c r="D69" s="25" t="inlineStr">
        <is>
          <t>Open</t>
        </is>
      </c>
      <c r="E69" s="25" t="inlineStr">
        <is>
          <t>Departure Declaration</t>
        </is>
      </c>
      <c r="F69" s="35" t="n"/>
      <c r="G69" s="35" t="n"/>
      <c r="H69" s="35" t="n"/>
      <c r="I69" s="35" t="n"/>
      <c r="J69" s="35" t="n"/>
      <c r="K69" s="35" t="n"/>
      <c r="Q69" s="35" t="n"/>
      <c r="R69" s="35" t="n"/>
    </row>
    <row r="70">
      <c r="A70" s="20" t="n"/>
      <c r="F70" s="35" t="n"/>
      <c r="G70" s="35" t="n"/>
      <c r="H70" s="35" t="n"/>
      <c r="I70" s="35" t="n"/>
      <c r="J70" s="35" t="n"/>
      <c r="K70" s="35" t="n"/>
      <c r="Q70" s="35" t="n"/>
      <c r="R70" s="35" t="n"/>
    </row>
    <row r="71">
      <c r="A71" s="20" t="n"/>
      <c r="F71" s="35" t="n"/>
      <c r="G71" s="35" t="n"/>
      <c r="H71" s="35" t="n"/>
      <c r="I71" s="35" t="n"/>
      <c r="J71" s="35" t="n"/>
      <c r="K71" s="35" t="n"/>
      <c r="Q71" s="35" t="n"/>
      <c r="R71" s="35" t="n"/>
    </row>
    <row r="72">
      <c r="A72" s="20" t="n"/>
      <c r="B72" s="20" t="n"/>
      <c r="C72" s="20" t="n"/>
      <c r="D72" s="20" t="n"/>
      <c r="E72" s="20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</row>
    <row r="73">
      <c r="A73" s="33" t="n"/>
      <c r="B73" s="49" t="inlineStr">
        <is>
          <t>Refinement session #07</t>
        </is>
      </c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</row>
    <row r="74">
      <c r="A74" s="14" t="n"/>
      <c r="B74" s="14" t="inlineStr">
        <is>
          <t>Date</t>
        </is>
      </c>
      <c r="C74" s="24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</row>
    <row r="75">
      <c r="A75" s="14" t="n"/>
      <c r="B75" s="14" t="inlineStr">
        <is>
          <t>Time</t>
        </is>
      </c>
      <c r="C75" s="16" t="n"/>
      <c r="D75" s="14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</row>
    <row r="76">
      <c r="A76" s="14" t="n"/>
      <c r="B76" s="17" t="inlineStr">
        <is>
          <t>Topics</t>
        </is>
      </c>
      <c r="C76" s="18" t="inlineStr">
        <is>
          <t>Hauls</t>
        </is>
      </c>
      <c r="D76" s="14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</row>
    <row r="77">
      <c r="A77" s="14" t="n"/>
      <c r="B77" s="14" t="inlineStr">
        <is>
          <t>Goal</t>
        </is>
      </c>
      <c r="C77" s="35" t="inlineStr">
        <is>
          <t>All the user stories in the agenda are "Ready"</t>
        </is>
      </c>
      <c r="D77" s="14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</row>
    <row r="78">
      <c r="A78" s="35" t="n"/>
      <c r="B78" s="14" t="inlineStr">
        <is>
          <t>Sprint</t>
        </is>
      </c>
      <c r="C78" s="35" t="n">
        <v>3</v>
      </c>
      <c r="D78" s="14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</row>
    <row r="79">
      <c r="A79" s="34" t="n"/>
      <c r="B79" s="50" t="inlineStr">
        <is>
          <t>Agenda for Refinement session #07</t>
        </is>
      </c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</row>
    <row r="80">
      <c r="A80" s="14" t="n"/>
      <c r="B80" s="14" t="inlineStr">
        <is>
          <t>Story Number</t>
        </is>
      </c>
      <c r="C80" s="14" t="inlineStr">
        <is>
          <t>Summary</t>
        </is>
      </c>
      <c r="D80" s="14" t="inlineStr">
        <is>
          <t>Status</t>
        </is>
      </c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</row>
    <row r="81">
      <c r="B81" s="25" t="inlineStr">
        <is>
          <t>SSF-205</t>
        </is>
      </c>
      <c r="C81" s="25" t="inlineStr">
        <is>
          <t>[MOB] Hauls screen</t>
        </is>
      </c>
      <c r="D81" s="25" t="inlineStr">
        <is>
          <t>Open</t>
        </is>
      </c>
      <c r="E81" s="25" t="inlineStr">
        <is>
          <t>Hauls</t>
        </is>
      </c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</row>
    <row r="82">
      <c r="A82" s="20" t="n"/>
      <c r="B82" s="25" t="inlineStr">
        <is>
          <t>SSF-207</t>
        </is>
      </c>
      <c r="C82" s="25" t="inlineStr">
        <is>
          <t>[MOB] Add hauls - Gear set gear selection</t>
        </is>
      </c>
      <c r="D82" s="25" t="inlineStr">
        <is>
          <t>Open</t>
        </is>
      </c>
      <c r="E82" s="25" t="inlineStr">
        <is>
          <t>Hauls</t>
        </is>
      </c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</row>
    <row r="83">
      <c r="A83" s="20" t="n"/>
      <c r="B83" s="25" t="inlineStr">
        <is>
          <t>SSF-206</t>
        </is>
      </c>
      <c r="C83" s="25" t="inlineStr">
        <is>
          <t>[MOB] Add hauls - Gear set map view</t>
        </is>
      </c>
      <c r="D83" s="25" t="inlineStr">
        <is>
          <t>Open</t>
        </is>
      </c>
      <c r="E83" s="25" t="inlineStr">
        <is>
          <t>Hauls</t>
        </is>
      </c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</row>
    <row r="84">
      <c r="A84" s="20" t="n"/>
      <c r="B84" s="25" t="inlineStr">
        <is>
          <t>SSF-213</t>
        </is>
      </c>
      <c r="C84" s="25" t="inlineStr">
        <is>
          <t>[BACK] Add Hauls - POST / PUT pour créer un haul</t>
        </is>
      </c>
      <c r="D84" s="25" t="inlineStr">
        <is>
          <t>Open</t>
        </is>
      </c>
      <c r="E84" s="25" t="inlineStr">
        <is>
          <t>Hauls</t>
        </is>
      </c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</row>
    <row r="85">
      <c r="A85" s="20" t="n"/>
      <c r="B85" s="25" t="inlineStr">
        <is>
          <t>SSF-212</t>
        </is>
      </c>
      <c r="C85" s="25" t="inlineStr">
        <is>
          <t>[MOB] Add hauls - Gear haul form screen</t>
        </is>
      </c>
      <c r="D85" s="25" t="inlineStr">
        <is>
          <t>Open</t>
        </is>
      </c>
      <c r="E85" s="25" t="inlineStr">
        <is>
          <t>Hauls</t>
        </is>
      </c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</row>
    <row r="86">
      <c r="A86" s="20" t="n"/>
      <c r="B86" s="20" t="n"/>
      <c r="C86" s="20" t="n"/>
      <c r="D86" s="20" t="n"/>
      <c r="E86" s="20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</row>
    <row r="87">
      <c r="A87" s="20" t="n"/>
      <c r="B87" s="20" t="n"/>
      <c r="C87" s="20" t="n"/>
      <c r="D87" s="20" t="n"/>
      <c r="E87" s="20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</row>
    <row r="88"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</row>
    <row r="89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</row>
    <row r="90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</row>
    <row r="91">
      <c r="A91" s="33" t="n"/>
      <c r="B91" s="49" t="inlineStr">
        <is>
          <t>Refinement session #08</t>
        </is>
      </c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</row>
    <row r="92">
      <c r="A92" s="14" t="n"/>
      <c r="B92" s="14" t="inlineStr">
        <is>
          <t>Date</t>
        </is>
      </c>
      <c r="C92" s="24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</row>
    <row r="93">
      <c r="A93" s="14" t="n"/>
      <c r="B93" s="14" t="inlineStr">
        <is>
          <t>Time</t>
        </is>
      </c>
      <c r="C93" s="16" t="n"/>
      <c r="D93" s="14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</row>
    <row r="94">
      <c r="A94" s="14" t="n"/>
      <c r="B94" s="17" t="inlineStr">
        <is>
          <t>Topics</t>
        </is>
      </c>
      <c r="C94" s="18" t="inlineStr">
        <is>
          <t>Hauls</t>
        </is>
      </c>
      <c r="D94" s="14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</row>
    <row r="95">
      <c r="A95" s="14" t="n"/>
      <c r="B95" s="14" t="inlineStr">
        <is>
          <t>Goal</t>
        </is>
      </c>
      <c r="C95" s="35" t="inlineStr">
        <is>
          <t>All the user stories in the agenda are "Ready"</t>
        </is>
      </c>
      <c r="D95" s="14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</row>
    <row r="96">
      <c r="A96" s="35" t="n"/>
      <c r="B96" s="35" t="inlineStr">
        <is>
          <t>Sprint</t>
        </is>
      </c>
      <c r="C96" s="35" t="n">
        <v>4</v>
      </c>
      <c r="D96" s="14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</row>
    <row r="97">
      <c r="A97" s="34" t="n"/>
      <c r="B97" s="50" t="inlineStr">
        <is>
          <t>Agenda for Refinement session #08</t>
        </is>
      </c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</row>
    <row r="98">
      <c r="A98" s="14" t="n"/>
      <c r="B98" s="14" t="inlineStr">
        <is>
          <t>Story Number</t>
        </is>
      </c>
      <c r="C98" s="14" t="inlineStr">
        <is>
          <t>Summary</t>
        </is>
      </c>
      <c r="D98" s="14" t="inlineStr">
        <is>
          <t>Status</t>
        </is>
      </c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</row>
    <row r="99">
      <c r="B99" s="25" t="inlineStr">
        <is>
          <t>SSF-211</t>
        </is>
      </c>
      <c r="C99" s="25" t="inlineStr">
        <is>
          <t>[MOB]  Add Catches - Form weight, number of individual, size class, discarded</t>
        </is>
      </c>
      <c r="D99" s="25" t="inlineStr">
        <is>
          <t>Open</t>
        </is>
      </c>
      <c r="E99" s="25" t="inlineStr">
        <is>
          <t>Hauls</t>
        </is>
      </c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</row>
    <row r="100">
      <c r="A100" s="20" t="n"/>
      <c r="B100" s="25" t="inlineStr">
        <is>
          <t>SSF-209</t>
        </is>
      </c>
      <c r="C100" s="25" t="inlineStr">
        <is>
          <t>[MOB]  Add Catches - Form for discarded catches (reason, weight etc)</t>
        </is>
      </c>
      <c r="D100" s="25" t="inlineStr">
        <is>
          <t>Open</t>
        </is>
      </c>
      <c r="E100" s="25" t="inlineStr">
        <is>
          <t>Hauls</t>
        </is>
      </c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</row>
    <row r="101">
      <c r="A101" s="20" t="n"/>
      <c r="B101" s="25" t="inlineStr">
        <is>
          <t>SSF-208</t>
        </is>
      </c>
      <c r="C101" s="25" t="inlineStr">
        <is>
          <t>[MOB] Add catches - Form search species and select</t>
        </is>
      </c>
      <c r="D101" s="25" t="inlineStr">
        <is>
          <t>Open</t>
        </is>
      </c>
      <c r="E101" s="25" t="inlineStr">
        <is>
          <t>Hauls</t>
        </is>
      </c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</row>
    <row r="102">
      <c r="A102" s="20" t="n"/>
      <c r="B102" s="25" t="inlineStr">
        <is>
          <t>SSF-214</t>
        </is>
      </c>
      <c r="C102" s="25" t="inlineStr">
        <is>
          <t>[BACK] Add Catches - POST / PUT</t>
        </is>
      </c>
      <c r="D102" s="25" t="inlineStr">
        <is>
          <t>Open</t>
        </is>
      </c>
      <c r="E102" s="25" t="inlineStr">
        <is>
          <t>Hauls</t>
        </is>
      </c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</row>
    <row r="103">
      <c r="A103" s="20" t="n"/>
      <c r="B103" s="25" t="inlineStr">
        <is>
          <t>SSF-210</t>
        </is>
      </c>
      <c r="C103" s="25" t="inlineStr">
        <is>
          <t>[MOB]  Add Catches - Review screen</t>
        </is>
      </c>
      <c r="D103" s="25" t="inlineStr">
        <is>
          <t>Open</t>
        </is>
      </c>
      <c r="E103" s="25" t="inlineStr">
        <is>
          <t>Hauls</t>
        </is>
      </c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</row>
    <row r="104">
      <c r="A104" s="20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</row>
    <row r="105">
      <c r="A105" s="20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</row>
    <row r="106">
      <c r="A106" s="33" t="n"/>
      <c r="B106" s="49" t="inlineStr">
        <is>
          <t>Refinement session #09</t>
        </is>
      </c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</row>
    <row r="107">
      <c r="A107" s="14" t="n"/>
      <c r="B107" s="14" t="inlineStr">
        <is>
          <t>Date</t>
        </is>
      </c>
      <c r="C107" s="24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</row>
    <row r="108">
      <c r="A108" s="14" t="n"/>
      <c r="B108" s="14" t="inlineStr">
        <is>
          <t>Time</t>
        </is>
      </c>
      <c r="C108" s="16" t="n"/>
      <c r="D108" s="14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</row>
    <row r="109">
      <c r="A109" s="14" t="n"/>
      <c r="B109" s="17" t="inlineStr">
        <is>
          <t>Topics</t>
        </is>
      </c>
      <c r="C109" s="18" t="inlineStr">
        <is>
          <t>Hauls</t>
        </is>
      </c>
      <c r="D109" s="14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</row>
    <row r="110">
      <c r="A110" s="14" t="n"/>
      <c r="B110" s="14" t="inlineStr">
        <is>
          <t>Goal</t>
        </is>
      </c>
      <c r="C110" s="35" t="inlineStr">
        <is>
          <t>All the user stories in the agenda are "Ready"</t>
        </is>
      </c>
      <c r="D110" s="14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</row>
    <row r="111">
      <c r="A111" s="35" t="n"/>
      <c r="B111" s="35" t="inlineStr">
        <is>
          <t>Sprint</t>
        </is>
      </c>
      <c r="C111" s="35" t="n">
        <v>4</v>
      </c>
      <c r="D111" s="14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</row>
    <row r="112">
      <c r="A112" s="34" t="n"/>
      <c r="B112" s="50" t="inlineStr">
        <is>
          <t>Agenda for Refinement session #09</t>
        </is>
      </c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</row>
    <row r="113">
      <c r="A113" s="14" t="n"/>
      <c r="B113" s="14" t="inlineStr">
        <is>
          <t>Story Number</t>
        </is>
      </c>
      <c r="C113" s="14" t="inlineStr">
        <is>
          <t>Summary</t>
        </is>
      </c>
      <c r="D113" s="14" t="inlineStr">
        <is>
          <t>Status</t>
        </is>
      </c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</row>
    <row r="114">
      <c r="B114" s="25" t="inlineStr">
        <is>
          <t>SSF-215</t>
        </is>
      </c>
      <c r="C114" s="25" t="inlineStr">
        <is>
          <t>[BACK] Pending Hauls - GET to retrieve the pending hauls</t>
        </is>
      </c>
      <c r="D114" s="25" t="inlineStr">
        <is>
          <t>Open</t>
        </is>
      </c>
      <c r="E114" s="20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</row>
    <row r="115">
      <c r="A115" s="20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</row>
    <row r="116">
      <c r="A116" s="20" t="n"/>
      <c r="B116" s="20" t="n"/>
      <c r="C116" s="20" t="n"/>
      <c r="D116" s="20" t="n"/>
      <c r="E116" s="20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</row>
    <row r="117">
      <c r="A117" s="20" t="n"/>
      <c r="B117" s="20" t="n"/>
      <c r="C117" s="20" t="n"/>
      <c r="D117" s="20" t="n"/>
      <c r="E117" s="20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</row>
    <row r="118">
      <c r="A118" s="20" t="n"/>
      <c r="B118" s="20" t="n"/>
      <c r="C118" s="20" t="n"/>
      <c r="D118" s="20" t="n"/>
      <c r="E118" s="20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</row>
    <row r="119">
      <c r="A119" s="20" t="n"/>
      <c r="B119" s="20" t="n"/>
      <c r="C119" s="20" t="n"/>
      <c r="D119" s="20" t="n"/>
      <c r="E119" s="20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</row>
    <row r="120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</row>
    <row r="121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</row>
    <row r="122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</row>
    <row r="123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</row>
    <row r="124">
      <c r="A124" s="35" t="n"/>
      <c r="B124" s="52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</row>
    <row r="125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</row>
    <row r="126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</row>
    <row r="127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</row>
    <row r="128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</row>
    <row r="129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</row>
    <row r="130">
      <c r="A130" s="35" t="n"/>
      <c r="B130" s="52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</row>
    <row r="131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</row>
    <row r="132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</row>
    <row r="133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</row>
    <row r="134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</row>
    <row r="135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</row>
    <row r="136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</row>
    <row r="137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</row>
    <row r="138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</row>
    <row r="139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</row>
    <row r="140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</row>
    <row r="141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</row>
    <row r="142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</row>
    <row r="143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</row>
    <row r="144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</row>
    <row r="145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</row>
    <row r="146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</row>
    <row r="147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</row>
    <row r="148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</row>
    <row r="149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</row>
    <row r="150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</row>
    <row r="151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</row>
    <row r="152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</row>
    <row r="153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</row>
    <row r="154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</row>
    <row r="155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</row>
    <row r="156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</row>
    <row r="157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</row>
    <row r="158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</row>
    <row r="159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</row>
    <row r="160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</row>
    <row r="161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</row>
    <row r="162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</row>
    <row r="163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</row>
    <row r="164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</row>
    <row r="165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</row>
    <row r="166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</row>
    <row r="167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</row>
    <row r="168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</row>
    <row r="169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</row>
    <row r="170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</row>
    <row r="171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</row>
    <row r="172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</row>
    <row r="173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</row>
    <row r="174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</row>
    <row r="175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</row>
    <row r="176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</row>
    <row r="177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</row>
    <row r="178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</row>
    <row r="179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</row>
    <row r="180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</row>
    <row r="181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</row>
    <row r="182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</row>
    <row r="183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</row>
    <row r="184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</row>
    <row r="185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</row>
    <row r="186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</row>
    <row r="187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</row>
    <row r="188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</row>
    <row r="189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</row>
    <row r="190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</row>
    <row r="191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</row>
    <row r="192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</row>
    <row r="193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</row>
    <row r="194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</row>
    <row r="195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</row>
    <row r="196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</row>
    <row r="197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</row>
    <row r="198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</row>
    <row r="199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</row>
    <row r="200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</row>
    <row r="201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</row>
    <row r="202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</row>
    <row r="203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</row>
    <row r="204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</row>
    <row r="205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</row>
    <row r="206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</row>
    <row r="207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</row>
    <row r="208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</row>
    <row r="209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</row>
    <row r="210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</row>
    <row r="211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</row>
    <row r="212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</row>
    <row r="213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</row>
    <row r="214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</row>
    <row r="215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</row>
    <row r="216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</row>
    <row r="217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</row>
    <row r="218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</row>
    <row r="219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</row>
    <row r="220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</row>
    <row r="221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</row>
    <row r="222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</row>
    <row r="223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</row>
    <row r="224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</row>
    <row r="225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</row>
    <row r="226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</row>
    <row r="227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</row>
    <row r="228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</row>
    <row r="229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</row>
    <row r="230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</row>
    <row r="231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</row>
    <row r="232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</row>
    <row r="233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</row>
    <row r="234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</row>
    <row r="235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</row>
    <row r="236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</row>
    <row r="237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</row>
    <row r="238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</row>
    <row r="239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</row>
    <row r="240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</row>
    <row r="241">
      <c r="A241" s="35" t="n"/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</row>
    <row r="242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</row>
    <row r="243">
      <c r="A243" s="35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</row>
    <row r="244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</row>
    <row r="245">
      <c r="A245" s="35" t="n"/>
      <c r="B245" s="35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</row>
    <row r="246">
      <c r="A246" s="35" t="n"/>
      <c r="B246" s="35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</row>
    <row r="247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</row>
    <row r="248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</row>
    <row r="249">
      <c r="A249" s="35" t="n"/>
      <c r="B249" s="35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</row>
    <row r="250">
      <c r="A250" s="35" t="n"/>
      <c r="B250" s="35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</row>
    <row r="25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</row>
    <row r="252">
      <c r="A252" s="35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</row>
    <row r="253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</row>
    <row r="254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</row>
    <row r="255">
      <c r="A255" s="35" t="n"/>
      <c r="B255" s="35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</row>
    <row r="256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</row>
    <row r="257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</row>
    <row r="25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</row>
    <row r="259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</row>
    <row r="260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</row>
    <row r="26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</row>
    <row r="262">
      <c r="A262" s="35" t="n"/>
      <c r="B262" s="35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</row>
    <row r="263">
      <c r="A263" s="35" t="n"/>
      <c r="B263" s="35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</row>
    <row r="264">
      <c r="A264" s="35" t="n"/>
      <c r="B264" s="35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</row>
    <row r="265">
      <c r="A265" s="35" t="n"/>
      <c r="B265" s="35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</row>
    <row r="266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</row>
    <row r="267">
      <c r="A267" s="35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</row>
    <row r="268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</row>
    <row r="269">
      <c r="A269" s="35" t="n"/>
      <c r="B269" s="35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</row>
    <row r="270">
      <c r="A270" s="35" t="n"/>
      <c r="B270" s="35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</row>
    <row r="271">
      <c r="A271" s="35" t="n"/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</row>
    <row r="272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</row>
    <row r="273">
      <c r="A273" s="35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</row>
    <row r="274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</row>
    <row r="275">
      <c r="A275" s="35" t="n"/>
      <c r="B275" s="35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</row>
    <row r="276">
      <c r="A276" s="35" t="n"/>
      <c r="B276" s="35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</row>
    <row r="277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</row>
    <row r="278">
      <c r="A278" s="35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</row>
    <row r="279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</row>
    <row r="280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</row>
    <row r="281">
      <c r="A281" s="35" t="n"/>
      <c r="B281" s="35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</row>
    <row r="282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</row>
    <row r="283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</row>
    <row r="284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</row>
    <row r="285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</row>
    <row r="286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</row>
    <row r="287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</row>
    <row r="288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</row>
    <row r="289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</row>
    <row r="290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</row>
    <row r="291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</row>
    <row r="292">
      <c r="A292" s="35" t="n"/>
      <c r="B292" s="35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</row>
    <row r="293">
      <c r="A293" s="35" t="n"/>
      <c r="B293" s="35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</row>
    <row r="294">
      <c r="A294" s="35" t="n"/>
      <c r="B294" s="35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</row>
    <row r="295">
      <c r="A295" s="35" t="n"/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</row>
    <row r="296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</row>
    <row r="297">
      <c r="A297" s="35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</row>
    <row r="298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</row>
    <row r="299">
      <c r="A299" s="35" t="n"/>
      <c r="B299" s="35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</row>
    <row r="300">
      <c r="A300" s="35" t="n"/>
      <c r="B300" s="35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</row>
    <row r="301">
      <c r="A301" s="35" t="n"/>
      <c r="B301" s="35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</row>
    <row r="302">
      <c r="A302" s="35" t="n"/>
      <c r="B302" s="35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</row>
    <row r="303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</row>
    <row r="304">
      <c r="A304" s="35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</row>
    <row r="305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</row>
    <row r="306">
      <c r="A306" s="35" t="n"/>
      <c r="B306" s="35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</row>
    <row r="307">
      <c r="A307" s="35" t="n"/>
      <c r="B307" s="35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</row>
    <row r="308">
      <c r="A308" s="35" t="n"/>
      <c r="B308" s="35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</row>
    <row r="309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</row>
    <row r="310">
      <c r="A310" s="35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</row>
    <row r="31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</row>
    <row r="312">
      <c r="A312" s="35" t="n"/>
      <c r="B312" s="35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</row>
    <row r="313">
      <c r="A313" s="35" t="n"/>
      <c r="B313" s="35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</row>
    <row r="314">
      <c r="A314" s="35" t="n"/>
      <c r="B314" s="35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</row>
    <row r="315">
      <c r="A315" s="35" t="n"/>
      <c r="B315" s="35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</row>
    <row r="316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</row>
    <row r="317">
      <c r="A317" s="35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</row>
    <row r="318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</row>
    <row r="319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</row>
    <row r="320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</row>
    <row r="321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</row>
    <row r="322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</row>
    <row r="323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</row>
    <row r="324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</row>
    <row r="325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</row>
    <row r="326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</row>
    <row r="327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</row>
    <row r="328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</row>
    <row r="329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</row>
    <row r="330">
      <c r="A330" s="35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</row>
    <row r="33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</row>
    <row r="332">
      <c r="A332" s="35" t="n"/>
      <c r="B332" s="35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</row>
    <row r="333">
      <c r="A333" s="35" t="n"/>
      <c r="B333" s="35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</row>
    <row r="334">
      <c r="A334" s="35" t="n"/>
      <c r="B334" s="35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</row>
    <row r="335">
      <c r="A335" s="35" t="n"/>
      <c r="B335" s="35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</row>
    <row r="336">
      <c r="A336" s="35" t="n"/>
      <c r="B336" s="35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</row>
    <row r="337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</row>
    <row r="338">
      <c r="A338" s="35" t="n"/>
      <c r="B338" s="35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</row>
    <row r="339">
      <c r="A339" s="35" t="n"/>
      <c r="B339" s="35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</row>
    <row r="340">
      <c r="A340" s="35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</row>
    <row r="34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</row>
    <row r="342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</row>
    <row r="343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</row>
    <row r="344">
      <c r="A344" s="35" t="n"/>
      <c r="B344" s="35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</row>
    <row r="345">
      <c r="A345" s="35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</row>
    <row r="346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</row>
    <row r="347">
      <c r="A347" s="35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</row>
    <row r="348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</row>
    <row r="349">
      <c r="A349" s="35" t="n"/>
      <c r="B349" s="35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</row>
    <row r="350">
      <c r="A350" s="35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</row>
    <row r="35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</row>
    <row r="352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</row>
    <row r="353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</row>
    <row r="354">
      <c r="A354" s="35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</row>
    <row r="355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</row>
    <row r="356">
      <c r="A356" s="35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</row>
    <row r="357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</row>
    <row r="358">
      <c r="A358" s="35" t="n"/>
      <c r="B358" s="35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</row>
    <row r="359">
      <c r="A359" s="35" t="n"/>
      <c r="B359" s="35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</row>
    <row r="360">
      <c r="A360" s="35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</row>
    <row r="36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</row>
    <row r="362">
      <c r="A362" s="35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</row>
    <row r="363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</row>
    <row r="364">
      <c r="A364" s="35" t="n"/>
      <c r="B364" s="35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</row>
    <row r="365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</row>
    <row r="366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</row>
    <row r="367">
      <c r="A367" s="35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</row>
    <row r="368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</row>
    <row r="369">
      <c r="A369" s="35" t="n"/>
      <c r="B369" s="35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</row>
    <row r="370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</row>
    <row r="371">
      <c r="A371" s="35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</row>
    <row r="372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</row>
    <row r="373">
      <c r="A373" s="35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</row>
    <row r="374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</row>
    <row r="375">
      <c r="A375" s="35" t="n"/>
      <c r="B375" s="35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</row>
    <row r="376">
      <c r="A376" s="35" t="n"/>
      <c r="B376" s="35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</row>
    <row r="377">
      <c r="A377" s="35" t="n"/>
      <c r="B377" s="35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</row>
    <row r="378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</row>
    <row r="379">
      <c r="A379" s="35" t="n"/>
      <c r="B379" s="35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</row>
    <row r="380">
      <c r="A380" s="35" t="n"/>
      <c r="B380" s="35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</row>
    <row r="381">
      <c r="A381" s="35" t="n"/>
      <c r="B381" s="35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</row>
    <row r="382">
      <c r="A382" s="35" t="n"/>
      <c r="B382" s="35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</row>
    <row r="383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</row>
    <row r="384">
      <c r="A384" s="35" t="n"/>
      <c r="B384" s="35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</row>
    <row r="385">
      <c r="A385" s="35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</row>
    <row r="386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</row>
    <row r="387">
      <c r="A387" s="35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</row>
    <row r="388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</row>
    <row r="389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</row>
    <row r="390">
      <c r="A390" s="35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</row>
    <row r="39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</row>
    <row r="392">
      <c r="A392" s="35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</row>
    <row r="393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</row>
    <row r="394">
      <c r="A394" s="35" t="n"/>
      <c r="B394" s="35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</row>
    <row r="395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</row>
    <row r="396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</row>
    <row r="397">
      <c r="A397" s="35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</row>
    <row r="398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</row>
    <row r="399">
      <c r="A399" s="35" t="n"/>
      <c r="B399" s="35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</row>
    <row r="400">
      <c r="A400" s="35" t="n"/>
      <c r="B400" s="35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</row>
    <row r="401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</row>
    <row r="402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</row>
    <row r="403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</row>
    <row r="404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</row>
    <row r="405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</row>
    <row r="406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</row>
    <row r="407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</row>
    <row r="408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</row>
    <row r="409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</row>
    <row r="410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</row>
    <row r="411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</row>
    <row r="412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</row>
    <row r="413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</row>
    <row r="414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</row>
    <row r="415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</row>
    <row r="416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</row>
    <row r="417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</row>
    <row r="418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</row>
    <row r="419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</row>
    <row r="420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</row>
    <row r="421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</row>
    <row r="422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</row>
    <row r="423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</row>
    <row r="424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</row>
    <row r="425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</row>
    <row r="426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</row>
    <row r="427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</row>
    <row r="428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</row>
    <row r="429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</row>
    <row r="430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</row>
    <row r="43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</row>
    <row r="432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</row>
    <row r="433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</row>
    <row r="434">
      <c r="A434" s="35" t="n"/>
      <c r="B434" s="35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</row>
    <row r="435">
      <c r="A435" s="35" t="n"/>
      <c r="B435" s="35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</row>
    <row r="436">
      <c r="A436" s="35" t="n"/>
      <c r="B436" s="35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</row>
    <row r="437">
      <c r="A437" s="35" t="n"/>
      <c r="B437" s="35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</row>
    <row r="438">
      <c r="A438" s="35" t="n"/>
      <c r="B438" s="35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</row>
    <row r="439">
      <c r="A439" s="35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</row>
    <row r="440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</row>
    <row r="441">
      <c r="A441" s="35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</row>
    <row r="442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</row>
    <row r="443">
      <c r="A443" s="35" t="n"/>
      <c r="B443" s="35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</row>
    <row r="444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</row>
    <row r="445">
      <c r="A445" s="35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</row>
    <row r="446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</row>
    <row r="447">
      <c r="A447" s="35" t="n"/>
      <c r="B447" s="35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</row>
    <row r="448">
      <c r="A448" s="35" t="n"/>
      <c r="B448" s="35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</row>
    <row r="449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</row>
    <row r="450">
      <c r="A450" s="35" t="n"/>
      <c r="B450" s="35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</row>
    <row r="451">
      <c r="A451" s="35" t="n"/>
      <c r="B451" s="35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</row>
    <row r="452">
      <c r="A452" s="35" t="n"/>
      <c r="B452" s="35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</row>
    <row r="453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</row>
    <row r="454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</row>
    <row r="455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</row>
    <row r="456">
      <c r="A456" s="35" t="n"/>
      <c r="B456" s="35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</row>
    <row r="457">
      <c r="A457" s="35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</row>
    <row r="458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</row>
    <row r="459">
      <c r="A459" s="35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</row>
    <row r="460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</row>
    <row r="461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</row>
    <row r="462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</row>
    <row r="463">
      <c r="A463" s="35" t="n"/>
      <c r="B463" s="35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</row>
    <row r="464">
      <c r="A464" s="35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</row>
    <row r="465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</row>
    <row r="466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</row>
    <row r="467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</row>
    <row r="468">
      <c r="A468" s="35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</row>
    <row r="469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</row>
    <row r="470">
      <c r="A470" s="35" t="n"/>
      <c r="B470" s="35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</row>
    <row r="471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</row>
    <row r="472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</row>
    <row r="473">
      <c r="A473" s="35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</row>
    <row r="474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</row>
    <row r="475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</row>
    <row r="476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</row>
    <row r="477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</row>
    <row r="478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</row>
    <row r="479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</row>
    <row r="480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</row>
    <row r="48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</row>
    <row r="482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</row>
    <row r="483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</row>
    <row r="484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</row>
    <row r="485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</row>
    <row r="486">
      <c r="A486" s="35" t="n"/>
      <c r="B486" s="35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</row>
    <row r="487">
      <c r="A487" s="35" t="n"/>
      <c r="B487" s="35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</row>
    <row r="488">
      <c r="A488" s="35" t="n"/>
      <c r="B488" s="35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</row>
    <row r="489">
      <c r="A489" s="35" t="n"/>
      <c r="B489" s="35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</row>
    <row r="490">
      <c r="A490" s="35" t="n"/>
      <c r="B490" s="35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</row>
    <row r="491">
      <c r="A491" s="35" t="n"/>
      <c r="B491" s="35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</row>
    <row r="492">
      <c r="A492" s="35" t="n"/>
      <c r="B492" s="35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</row>
    <row r="493">
      <c r="A493" s="35" t="n"/>
      <c r="B493" s="35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</row>
    <row r="494">
      <c r="A494" s="35" t="n"/>
      <c r="B494" s="35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</row>
    <row r="495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</row>
    <row r="496">
      <c r="A496" s="35" t="n"/>
      <c r="B496" s="35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</row>
    <row r="497">
      <c r="A497" s="35" t="n"/>
      <c r="B497" s="35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</row>
    <row r="498">
      <c r="A498" s="35" t="n"/>
      <c r="B498" s="35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</row>
    <row r="499">
      <c r="A499" s="35" t="n"/>
      <c r="B499" s="35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</row>
    <row r="500">
      <c r="A500" s="35" t="n"/>
      <c r="B500" s="35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</row>
    <row r="501">
      <c r="A501" s="35" t="n"/>
      <c r="B501" s="35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</row>
    <row r="502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</row>
    <row r="503">
      <c r="A503" s="35" t="n"/>
      <c r="B503" s="35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</row>
    <row r="504">
      <c r="A504" s="35" t="n"/>
      <c r="B504" s="35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</row>
    <row r="505">
      <c r="A505" s="35" t="n"/>
      <c r="B505" s="35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</row>
    <row r="506">
      <c r="A506" s="35" t="n"/>
      <c r="B506" s="35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</row>
    <row r="507">
      <c r="A507" s="35" t="n"/>
      <c r="B507" s="35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</row>
    <row r="508">
      <c r="A508" s="35" t="n"/>
      <c r="B508" s="35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</row>
    <row r="509">
      <c r="A509" s="35" t="n"/>
      <c r="B509" s="35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</row>
    <row r="510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</row>
    <row r="511">
      <c r="A511" s="35" t="n"/>
      <c r="B511" s="35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</row>
    <row r="512">
      <c r="A512" s="35" t="n"/>
      <c r="B512" s="35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</row>
    <row r="513">
      <c r="A513" s="35" t="n"/>
      <c r="B513" s="35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</row>
    <row r="514">
      <c r="A514" s="35" t="n"/>
      <c r="B514" s="35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</row>
    <row r="515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</row>
    <row r="516">
      <c r="A516" s="35" t="n"/>
      <c r="B516" s="35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</row>
    <row r="517">
      <c r="A517" s="35" t="n"/>
      <c r="B517" s="35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</row>
    <row r="518">
      <c r="A518" s="35" t="n"/>
      <c r="B518" s="35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</row>
    <row r="519">
      <c r="A519" s="35" t="n"/>
      <c r="B519" s="35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</row>
    <row r="520">
      <c r="A520" s="35" t="n"/>
      <c r="B520" s="35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</row>
    <row r="521">
      <c r="A521" s="35" t="n"/>
      <c r="B521" s="35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</row>
    <row r="522">
      <c r="A522" s="35" t="n"/>
      <c r="B522" s="35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</row>
    <row r="523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</row>
    <row r="524">
      <c r="A524" s="35" t="n"/>
      <c r="B524" s="35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</row>
    <row r="525">
      <c r="A525" s="35" t="n"/>
      <c r="B525" s="35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</row>
    <row r="526">
      <c r="A526" s="35" t="n"/>
      <c r="B526" s="35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</row>
    <row r="527">
      <c r="A527" s="35" t="n"/>
      <c r="B527" s="35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</row>
    <row r="528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</row>
    <row r="529">
      <c r="A529" s="35" t="n"/>
      <c r="B529" s="35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</row>
    <row r="530">
      <c r="A530" s="35" t="n"/>
      <c r="B530" s="35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</row>
    <row r="531">
      <c r="A531" s="35" t="n"/>
      <c r="B531" s="35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</row>
    <row r="532">
      <c r="A532" s="35" t="n"/>
      <c r="B532" s="35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</row>
    <row r="533">
      <c r="A533" s="35" t="n"/>
      <c r="B533" s="35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</row>
    <row r="534">
      <c r="A534" s="35" t="n"/>
      <c r="B534" s="35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</row>
    <row r="535">
      <c r="A535" s="35" t="n"/>
      <c r="B535" s="35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</row>
    <row r="536">
      <c r="A536" s="35" t="n"/>
      <c r="B536" s="35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</row>
    <row r="537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</row>
    <row r="538">
      <c r="A538" s="35" t="n"/>
      <c r="B538" s="35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</row>
    <row r="539">
      <c r="A539" s="35" t="n"/>
      <c r="B539" s="35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</row>
    <row r="540">
      <c r="A540" s="35" t="n"/>
      <c r="B540" s="35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</row>
    <row r="541">
      <c r="A541" s="35" t="n"/>
      <c r="B541" s="35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</row>
    <row r="542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</row>
    <row r="543">
      <c r="A543" s="35" t="n"/>
      <c r="B543" s="35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</row>
    <row r="544">
      <c r="A544" s="35" t="n"/>
      <c r="B544" s="35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</row>
    <row r="545">
      <c r="A545" s="35" t="n"/>
      <c r="B545" s="35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</row>
    <row r="546">
      <c r="A546" s="35" t="n"/>
      <c r="B546" s="35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</row>
    <row r="547">
      <c r="A547" s="35" t="n"/>
      <c r="B547" s="35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</row>
    <row r="548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</row>
    <row r="549">
      <c r="A549" s="35" t="n"/>
      <c r="B549" s="35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</row>
    <row r="550">
      <c r="A550" s="35" t="n"/>
      <c r="B550" s="35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</row>
    <row r="551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</row>
    <row r="552">
      <c r="A552" s="35" t="n"/>
      <c r="B552" s="35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</row>
    <row r="553">
      <c r="A553" s="35" t="n"/>
      <c r="B553" s="35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</row>
    <row r="554">
      <c r="A554" s="35" t="n"/>
      <c r="B554" s="35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</row>
    <row r="555">
      <c r="A555" s="35" t="n"/>
      <c r="B555" s="35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</row>
    <row r="556">
      <c r="A556" s="35" t="n"/>
      <c r="B556" s="35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</row>
    <row r="557">
      <c r="A557" s="35" t="n"/>
      <c r="B557" s="35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</row>
    <row r="558">
      <c r="A558" s="35" t="n"/>
      <c r="B558" s="35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</row>
    <row r="559">
      <c r="A559" s="35" t="n"/>
      <c r="B559" s="35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</row>
    <row r="560">
      <c r="A560" s="35" t="n"/>
      <c r="B560" s="35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</row>
    <row r="561">
      <c r="A561" s="35" t="n"/>
      <c r="B561" s="35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</row>
    <row r="562">
      <c r="A562" s="35" t="n"/>
      <c r="B562" s="35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</row>
    <row r="563">
      <c r="A563" s="35" t="n"/>
      <c r="B563" s="35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</row>
    <row r="564">
      <c r="A564" s="35" t="n"/>
      <c r="B564" s="35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</row>
    <row r="565">
      <c r="A565" s="35" t="n"/>
      <c r="B565" s="35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</row>
    <row r="566">
      <c r="A566" s="35" t="n"/>
      <c r="B566" s="35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</row>
    <row r="567">
      <c r="A567" s="35" t="n"/>
      <c r="B567" s="35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</row>
    <row r="568">
      <c r="A568" s="35" t="n"/>
      <c r="B568" s="35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</row>
    <row r="569">
      <c r="A569" s="35" t="n"/>
      <c r="B569" s="35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</row>
    <row r="570">
      <c r="A570" s="35" t="n"/>
      <c r="B570" s="35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</row>
    <row r="571">
      <c r="A571" s="35" t="n"/>
      <c r="B571" s="35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</row>
    <row r="572">
      <c r="A572" s="35" t="n"/>
      <c r="B572" s="35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</row>
    <row r="573">
      <c r="A573" s="35" t="n"/>
      <c r="B573" s="35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</row>
    <row r="574">
      <c r="A574" s="35" t="n"/>
      <c r="B574" s="35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</row>
    <row r="575">
      <c r="A575" s="35" t="n"/>
      <c r="B575" s="35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</row>
    <row r="576">
      <c r="A576" s="35" t="n"/>
      <c r="B576" s="35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</row>
    <row r="577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</row>
    <row r="578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</row>
    <row r="579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</row>
    <row r="580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</row>
    <row r="581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</row>
    <row r="582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</row>
    <row r="583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</row>
    <row r="584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</row>
    <row r="585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</row>
    <row r="586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</row>
    <row r="587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</row>
    <row r="588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</row>
    <row r="589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</row>
    <row r="590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</row>
    <row r="591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</row>
    <row r="592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</row>
    <row r="593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</row>
    <row r="594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</row>
    <row r="595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</row>
    <row r="596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</row>
    <row r="597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</row>
    <row r="598">
      <c r="A598" s="35" t="n"/>
      <c r="B598" s="35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</row>
    <row r="599">
      <c r="A599" s="35" t="n"/>
      <c r="B599" s="35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</row>
    <row r="600">
      <c r="A600" s="35" t="n"/>
      <c r="B600" s="35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</row>
    <row r="601">
      <c r="A601" s="35" t="n"/>
      <c r="B601" s="35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</row>
    <row r="602">
      <c r="A602" s="35" t="n"/>
      <c r="B602" s="35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</row>
    <row r="603">
      <c r="A603" s="35" t="n"/>
      <c r="B603" s="35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</row>
    <row r="604">
      <c r="A604" s="35" t="n"/>
      <c r="B604" s="35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</row>
    <row r="605">
      <c r="A605" s="35" t="n"/>
      <c r="B605" s="35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</row>
    <row r="606">
      <c r="A606" s="35" t="n"/>
      <c r="B606" s="35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</row>
    <row r="607">
      <c r="A607" s="35" t="n"/>
      <c r="B607" s="35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</row>
    <row r="608">
      <c r="A608" s="35" t="n"/>
      <c r="B608" s="35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</row>
    <row r="609">
      <c r="A609" s="35" t="n"/>
      <c r="B609" s="35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</row>
    <row r="610">
      <c r="A610" s="35" t="n"/>
      <c r="B610" s="35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</row>
    <row r="611">
      <c r="A611" s="35" t="n"/>
      <c r="B611" s="35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</row>
    <row r="612">
      <c r="A612" s="35" t="n"/>
      <c r="B612" s="35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</row>
    <row r="613">
      <c r="A613" s="35" t="n"/>
      <c r="B613" s="35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</row>
    <row r="614">
      <c r="A614" s="35" t="n"/>
      <c r="B614" s="35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</row>
    <row r="615">
      <c r="A615" s="35" t="n"/>
      <c r="B615" s="35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</row>
    <row r="616">
      <c r="A616" s="35" t="n"/>
      <c r="B616" s="35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</row>
    <row r="617">
      <c r="A617" s="35" t="n"/>
      <c r="B617" s="35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</row>
    <row r="618">
      <c r="A618" s="35" t="n"/>
      <c r="B618" s="35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</row>
    <row r="619">
      <c r="A619" s="35" t="n"/>
      <c r="B619" s="35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</row>
    <row r="620">
      <c r="A620" s="35" t="n"/>
      <c r="B620" s="35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</row>
    <row r="621">
      <c r="A621" s="35" t="n"/>
      <c r="B621" s="35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</row>
    <row r="622">
      <c r="A622" s="35" t="n"/>
      <c r="B622" s="35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</row>
    <row r="623">
      <c r="A623" s="35" t="n"/>
      <c r="B623" s="35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</row>
    <row r="624">
      <c r="A624" s="35" t="n"/>
      <c r="B624" s="35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</row>
    <row r="625">
      <c r="A625" s="35" t="n"/>
      <c r="B625" s="35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</row>
    <row r="626">
      <c r="A626" s="35" t="n"/>
      <c r="B626" s="35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</row>
    <row r="627">
      <c r="A627" s="35" t="n"/>
      <c r="B627" s="35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</row>
    <row r="628">
      <c r="A628" s="35" t="n"/>
      <c r="B628" s="35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</row>
    <row r="629">
      <c r="A629" s="35" t="n"/>
      <c r="B629" s="35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</row>
    <row r="630">
      <c r="A630" s="35" t="n"/>
      <c r="B630" s="35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</row>
    <row r="631">
      <c r="A631" s="35" t="n"/>
      <c r="B631" s="35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</row>
    <row r="632">
      <c r="A632" s="35" t="n"/>
      <c r="B632" s="35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</row>
    <row r="633">
      <c r="A633" s="35" t="n"/>
      <c r="B633" s="35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</row>
    <row r="634">
      <c r="A634" s="35" t="n"/>
      <c r="B634" s="35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</row>
    <row r="635">
      <c r="A635" s="35" t="n"/>
      <c r="B635" s="35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</row>
    <row r="636">
      <c r="A636" s="35" t="n"/>
      <c r="B636" s="35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</row>
    <row r="637">
      <c r="A637" s="35" t="n"/>
      <c r="B637" s="35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</row>
    <row r="638">
      <c r="A638" s="35" t="n"/>
      <c r="B638" s="35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</row>
    <row r="639">
      <c r="A639" s="35" t="n"/>
      <c r="B639" s="35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</row>
    <row r="640">
      <c r="A640" s="35" t="n"/>
      <c r="B640" s="35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</row>
    <row r="641">
      <c r="A641" s="35" t="n"/>
      <c r="B641" s="35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</row>
    <row r="642">
      <c r="A642" s="35" t="n"/>
      <c r="B642" s="35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</row>
    <row r="643">
      <c r="A643" s="35" t="n"/>
      <c r="B643" s="35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</row>
    <row r="644">
      <c r="A644" s="35" t="n"/>
      <c r="B644" s="35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</row>
    <row r="645">
      <c r="A645" s="35" t="n"/>
      <c r="B645" s="35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</row>
    <row r="646">
      <c r="A646" s="35" t="n"/>
      <c r="B646" s="35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</row>
    <row r="647">
      <c r="A647" s="35" t="n"/>
      <c r="B647" s="35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</row>
    <row r="648">
      <c r="A648" s="35" t="n"/>
      <c r="B648" s="35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</row>
    <row r="649">
      <c r="A649" s="35" t="n"/>
      <c r="B649" s="35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</row>
    <row r="650">
      <c r="A650" s="35" t="n"/>
      <c r="B650" s="35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</row>
    <row r="651">
      <c r="A651" s="35" t="n"/>
      <c r="B651" s="35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</row>
    <row r="652">
      <c r="A652" s="35" t="n"/>
      <c r="B652" s="35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</row>
    <row r="653">
      <c r="A653" s="35" t="n"/>
      <c r="B653" s="35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</row>
    <row r="654">
      <c r="A654" s="35" t="n"/>
      <c r="B654" s="35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</row>
    <row r="655">
      <c r="A655" s="35" t="n"/>
      <c r="B655" s="35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</row>
    <row r="656">
      <c r="A656" s="35" t="n"/>
      <c r="B656" s="35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</row>
    <row r="657">
      <c r="A657" s="35" t="n"/>
      <c r="B657" s="35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</row>
    <row r="658">
      <c r="A658" s="35" t="n"/>
      <c r="B658" s="35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</row>
    <row r="659">
      <c r="A659" s="35" t="n"/>
      <c r="B659" s="35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</row>
    <row r="660">
      <c r="A660" s="35" t="n"/>
      <c r="B660" s="35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</row>
    <row r="661">
      <c r="A661" s="35" t="n"/>
      <c r="B661" s="35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</row>
    <row r="662">
      <c r="A662" s="35" t="n"/>
      <c r="B662" s="35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</row>
    <row r="663">
      <c r="A663" s="35" t="n"/>
      <c r="B663" s="35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</row>
    <row r="664">
      <c r="A664" s="35" t="n"/>
      <c r="B664" s="35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</row>
    <row r="665">
      <c r="A665" s="35" t="n"/>
      <c r="B665" s="35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</row>
    <row r="666">
      <c r="A666" s="35" t="n"/>
      <c r="B666" s="35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</row>
    <row r="667">
      <c r="A667" s="35" t="n"/>
      <c r="B667" s="35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</row>
    <row r="668">
      <c r="A668" s="35" t="n"/>
      <c r="B668" s="35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</row>
    <row r="669">
      <c r="A669" s="35" t="n"/>
      <c r="B669" s="35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</row>
    <row r="670">
      <c r="A670" s="35" t="n"/>
      <c r="B670" s="35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</row>
    <row r="671">
      <c r="A671" s="35" t="n"/>
      <c r="B671" s="35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</row>
    <row r="672">
      <c r="A672" s="35" t="n"/>
      <c r="B672" s="35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</row>
    <row r="673">
      <c r="A673" s="35" t="n"/>
      <c r="B673" s="35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</row>
    <row r="674">
      <c r="A674" s="35" t="n"/>
      <c r="B674" s="35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</row>
    <row r="675">
      <c r="A675" s="35" t="n"/>
      <c r="B675" s="35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</row>
    <row r="676">
      <c r="A676" s="35" t="n"/>
      <c r="B676" s="35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</row>
    <row r="677">
      <c r="A677" s="35" t="n"/>
      <c r="B677" s="35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</row>
    <row r="678">
      <c r="A678" s="35" t="n"/>
      <c r="B678" s="35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</row>
    <row r="679">
      <c r="A679" s="35" t="n"/>
      <c r="B679" s="35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</row>
    <row r="680">
      <c r="A680" s="35" t="n"/>
      <c r="B680" s="35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</row>
    <row r="681">
      <c r="A681" s="35" t="n"/>
      <c r="B681" s="35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</row>
    <row r="682">
      <c r="A682" s="35" t="n"/>
      <c r="B682" s="35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</row>
    <row r="683">
      <c r="A683" s="35" t="n"/>
      <c r="B683" s="35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</row>
    <row r="684">
      <c r="A684" s="35" t="n"/>
      <c r="B684" s="35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</row>
    <row r="685">
      <c r="A685" s="35" t="n"/>
      <c r="B685" s="35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</row>
    <row r="686">
      <c r="A686" s="35" t="n"/>
      <c r="B686" s="35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</row>
    <row r="687">
      <c r="A687" s="35" t="n"/>
      <c r="B687" s="35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</row>
    <row r="688">
      <c r="A688" s="35" t="n"/>
      <c r="B688" s="35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</row>
    <row r="689">
      <c r="A689" s="35" t="n"/>
      <c r="B689" s="35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</row>
    <row r="690">
      <c r="A690" s="35" t="n"/>
      <c r="B690" s="35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</row>
    <row r="691">
      <c r="A691" s="35" t="n"/>
      <c r="B691" s="35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</row>
    <row r="692">
      <c r="A692" s="35" t="n"/>
      <c r="B692" s="35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</row>
    <row r="693">
      <c r="A693" s="35" t="n"/>
      <c r="B693" s="35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</row>
    <row r="694">
      <c r="A694" s="35" t="n"/>
      <c r="B694" s="35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</row>
    <row r="695">
      <c r="A695" s="35" t="n"/>
      <c r="B695" s="35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</row>
    <row r="696">
      <c r="A696" s="35" t="n"/>
      <c r="B696" s="35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</row>
    <row r="697">
      <c r="A697" s="35" t="n"/>
      <c r="B697" s="35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</row>
    <row r="698">
      <c r="A698" s="35" t="n"/>
      <c r="B698" s="35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</row>
    <row r="699">
      <c r="A699" s="35" t="n"/>
      <c r="B699" s="35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</row>
    <row r="700">
      <c r="A700" s="35" t="n"/>
      <c r="B700" s="35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</row>
    <row r="701">
      <c r="A701" s="35" t="n"/>
      <c r="B701" s="35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</row>
    <row r="702">
      <c r="A702" s="35" t="n"/>
      <c r="B702" s="35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</row>
    <row r="703">
      <c r="A703" s="35" t="n"/>
      <c r="B703" s="35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</row>
    <row r="704">
      <c r="A704" s="35" t="n"/>
      <c r="B704" s="35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</row>
    <row r="705">
      <c r="A705" s="35" t="n"/>
      <c r="B705" s="35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</row>
    <row r="706">
      <c r="A706" s="35" t="n"/>
      <c r="B706" s="35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</row>
    <row r="707">
      <c r="A707" s="35" t="n"/>
      <c r="B707" s="35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</row>
    <row r="708">
      <c r="A708" s="35" t="n"/>
      <c r="B708" s="35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</row>
    <row r="709">
      <c r="A709" s="35" t="n"/>
      <c r="B709" s="35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</row>
    <row r="710">
      <c r="A710" s="35" t="n"/>
      <c r="B710" s="35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</row>
    <row r="711">
      <c r="A711" s="35" t="n"/>
      <c r="B711" s="35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</row>
    <row r="712">
      <c r="A712" s="35" t="n"/>
      <c r="B712" s="35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</row>
    <row r="713">
      <c r="A713" s="35" t="n"/>
      <c r="B713" s="35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</row>
    <row r="714">
      <c r="A714" s="35" t="n"/>
      <c r="B714" s="35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</row>
    <row r="715">
      <c r="A715" s="35" t="n"/>
      <c r="B715" s="35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</row>
    <row r="716">
      <c r="A716" s="35" t="n"/>
      <c r="B716" s="35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</row>
    <row r="717">
      <c r="A717" s="35" t="n"/>
      <c r="B717" s="35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</row>
    <row r="718">
      <c r="A718" s="35" t="n"/>
      <c r="B718" s="35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</row>
    <row r="719">
      <c r="A719" s="35" t="n"/>
      <c r="B719" s="35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</row>
    <row r="720">
      <c r="A720" s="35" t="n"/>
      <c r="B720" s="35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</row>
    <row r="721">
      <c r="A721" s="35" t="n"/>
      <c r="B721" s="35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</row>
    <row r="722">
      <c r="A722" s="35" t="n"/>
      <c r="B722" s="35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</row>
    <row r="723">
      <c r="A723" s="35" t="n"/>
      <c r="B723" s="35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</row>
    <row r="724">
      <c r="A724" s="35" t="n"/>
      <c r="B724" s="35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</row>
    <row r="725">
      <c r="A725" s="35" t="n"/>
      <c r="B725" s="35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</row>
    <row r="726">
      <c r="A726" s="35" t="n"/>
      <c r="B726" s="35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</row>
    <row r="727">
      <c r="A727" s="35" t="n"/>
      <c r="B727" s="35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</row>
    <row r="728">
      <c r="A728" s="35" t="n"/>
      <c r="B728" s="35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</row>
    <row r="729">
      <c r="A729" s="35" t="n"/>
      <c r="B729" s="35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</row>
    <row r="730">
      <c r="A730" s="35" t="n"/>
      <c r="B730" s="35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</row>
    <row r="731">
      <c r="A731" s="35" t="n"/>
      <c r="B731" s="35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</row>
    <row r="732">
      <c r="A732" s="35" t="n"/>
      <c r="B732" s="35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</row>
    <row r="733">
      <c r="A733" s="35" t="n"/>
      <c r="B733" s="35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</row>
    <row r="734">
      <c r="A734" s="35" t="n"/>
      <c r="B734" s="35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</row>
    <row r="735">
      <c r="A735" s="35" t="n"/>
      <c r="B735" s="35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</row>
    <row r="736">
      <c r="A736" s="35" t="n"/>
      <c r="B736" s="35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</row>
    <row r="737">
      <c r="A737" s="35" t="n"/>
      <c r="B737" s="35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</row>
    <row r="738">
      <c r="A738" s="35" t="n"/>
      <c r="B738" s="35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</row>
    <row r="739">
      <c r="A739" s="35" t="n"/>
      <c r="B739" s="35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</row>
    <row r="740">
      <c r="A740" s="35" t="n"/>
      <c r="B740" s="35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</row>
    <row r="741">
      <c r="A741" s="35" t="n"/>
      <c r="B741" s="35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</row>
    <row r="742">
      <c r="A742" s="35" t="n"/>
      <c r="B742" s="35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</row>
    <row r="743">
      <c r="A743" s="35" t="n"/>
      <c r="B743" s="35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</row>
    <row r="744">
      <c r="A744" s="35" t="n"/>
      <c r="B744" s="35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</row>
    <row r="745">
      <c r="A745" s="35" t="n"/>
      <c r="B745" s="35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</row>
    <row r="746">
      <c r="A746" s="35" t="n"/>
      <c r="B746" s="35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</row>
    <row r="747">
      <c r="A747" s="35" t="n"/>
      <c r="B747" s="35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</row>
    <row r="748">
      <c r="A748" s="35" t="n"/>
      <c r="B748" s="35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</row>
    <row r="749">
      <c r="A749" s="35" t="n"/>
      <c r="B749" s="35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</row>
    <row r="750">
      <c r="A750" s="35" t="n"/>
      <c r="B750" s="35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</row>
    <row r="751">
      <c r="A751" s="35" t="n"/>
      <c r="B751" s="35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</row>
    <row r="752">
      <c r="A752" s="35" t="n"/>
      <c r="B752" s="35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</row>
    <row r="753">
      <c r="A753" s="35" t="n"/>
      <c r="B753" s="35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</row>
    <row r="754">
      <c r="A754" s="35" t="n"/>
      <c r="B754" s="35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</row>
    <row r="755">
      <c r="A755" s="35" t="n"/>
      <c r="B755" s="35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</row>
    <row r="756">
      <c r="A756" s="35" t="n"/>
      <c r="B756" s="35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</row>
    <row r="757">
      <c r="A757" s="35" t="n"/>
      <c r="B757" s="35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</row>
    <row r="758">
      <c r="A758" s="35" t="n"/>
      <c r="B758" s="35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</row>
    <row r="759">
      <c r="A759" s="35" t="n"/>
      <c r="B759" s="35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</row>
    <row r="760">
      <c r="A760" s="35" t="n"/>
      <c r="B760" s="35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</row>
    <row r="761">
      <c r="A761" s="35" t="n"/>
      <c r="B761" s="35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</row>
    <row r="762">
      <c r="A762" s="35" t="n"/>
      <c r="B762" s="35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</row>
    <row r="763">
      <c r="A763" s="35" t="n"/>
      <c r="B763" s="35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</row>
    <row r="764">
      <c r="A764" s="35" t="n"/>
      <c r="B764" s="35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</row>
    <row r="765">
      <c r="A765" s="35" t="n"/>
      <c r="B765" s="35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</row>
    <row r="766">
      <c r="A766" s="35" t="n"/>
      <c r="B766" s="35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</row>
    <row r="767">
      <c r="A767" s="35" t="n"/>
      <c r="B767" s="35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</row>
    <row r="768">
      <c r="A768" s="35" t="n"/>
      <c r="B768" s="35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</row>
    <row r="769">
      <c r="A769" s="35" t="n"/>
      <c r="B769" s="35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</row>
    <row r="770">
      <c r="A770" s="35" t="n"/>
      <c r="B770" s="35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</row>
    <row r="771">
      <c r="A771" s="35" t="n"/>
      <c r="B771" s="35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</row>
    <row r="772">
      <c r="A772" s="35" t="n"/>
      <c r="B772" s="35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</row>
    <row r="773">
      <c r="A773" s="35" t="n"/>
      <c r="B773" s="35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</row>
    <row r="774">
      <c r="A774" s="35" t="n"/>
      <c r="B774" s="35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</row>
    <row r="775">
      <c r="A775" s="35" t="n"/>
      <c r="B775" s="35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</row>
    <row r="776">
      <c r="A776" s="35" t="n"/>
      <c r="B776" s="35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</row>
    <row r="777">
      <c r="A777" s="35" t="n"/>
      <c r="B777" s="35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</row>
    <row r="778">
      <c r="A778" s="35" t="n"/>
      <c r="B778" s="35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</row>
    <row r="779">
      <c r="A779" s="35" t="n"/>
      <c r="B779" s="35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</row>
    <row r="780">
      <c r="A780" s="35" t="n"/>
      <c r="B780" s="35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</row>
    <row r="781">
      <c r="A781" s="35" t="n"/>
      <c r="B781" s="35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</row>
    <row r="782">
      <c r="A782" s="35" t="n"/>
      <c r="B782" s="35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</row>
    <row r="783">
      <c r="A783" s="35" t="n"/>
      <c r="B783" s="35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</row>
    <row r="784">
      <c r="A784" s="35" t="n"/>
      <c r="B784" s="35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</row>
    <row r="785">
      <c r="A785" s="35" t="n"/>
      <c r="B785" s="35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</row>
    <row r="786">
      <c r="A786" s="35" t="n"/>
      <c r="B786" s="35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</row>
    <row r="787">
      <c r="A787" s="35" t="n"/>
      <c r="B787" s="35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</row>
    <row r="788">
      <c r="A788" s="35" t="n"/>
      <c r="B788" s="35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</row>
    <row r="789">
      <c r="A789" s="35" t="n"/>
      <c r="B789" s="35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</row>
    <row r="790">
      <c r="A790" s="35" t="n"/>
      <c r="B790" s="35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</row>
    <row r="791">
      <c r="A791" s="35" t="n"/>
      <c r="B791" s="35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</row>
    <row r="792">
      <c r="A792" s="35" t="n"/>
      <c r="B792" s="35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</row>
    <row r="793">
      <c r="A793" s="35" t="n"/>
      <c r="B793" s="35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</row>
    <row r="794">
      <c r="A794" s="35" t="n"/>
      <c r="B794" s="35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</row>
    <row r="795">
      <c r="A795" s="35" t="n"/>
      <c r="B795" s="35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</row>
    <row r="796">
      <c r="A796" s="35" t="n"/>
      <c r="B796" s="35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</row>
    <row r="797">
      <c r="A797" s="35" t="n"/>
      <c r="B797" s="35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</row>
    <row r="798">
      <c r="A798" s="35" t="n"/>
      <c r="B798" s="35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</row>
    <row r="799">
      <c r="A799" s="35" t="n"/>
      <c r="B799" s="35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</row>
    <row r="800">
      <c r="A800" s="35" t="n"/>
      <c r="B800" s="35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</row>
    <row r="801">
      <c r="A801" s="35" t="n"/>
      <c r="B801" s="35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</row>
    <row r="802">
      <c r="A802" s="35" t="n"/>
      <c r="B802" s="35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</row>
    <row r="803">
      <c r="A803" s="35" t="n"/>
      <c r="B803" s="35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</row>
    <row r="804">
      <c r="A804" s="35" t="n"/>
      <c r="B804" s="35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</row>
    <row r="805">
      <c r="A805" s="35" t="n"/>
      <c r="B805" s="35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</row>
    <row r="806">
      <c r="A806" s="35" t="n"/>
      <c r="B806" s="35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</row>
    <row r="807">
      <c r="A807" s="35" t="n"/>
      <c r="B807" s="35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</row>
    <row r="808">
      <c r="A808" s="35" t="n"/>
      <c r="B808" s="35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</row>
    <row r="809">
      <c r="A809" s="35" t="n"/>
      <c r="B809" s="35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</row>
    <row r="810">
      <c r="A810" s="35" t="n"/>
      <c r="B810" s="35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</row>
    <row r="811">
      <c r="A811" s="35" t="n"/>
      <c r="B811" s="35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</row>
    <row r="812">
      <c r="A812" s="35" t="n"/>
      <c r="B812" s="35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</row>
    <row r="813">
      <c r="A813" s="35" t="n"/>
      <c r="B813" s="35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</row>
    <row r="814">
      <c r="A814" s="35" t="n"/>
      <c r="B814" s="35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</row>
    <row r="815">
      <c r="A815" s="35" t="n"/>
      <c r="B815" s="35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</row>
    <row r="816">
      <c r="A816" s="35" t="n"/>
      <c r="B816" s="35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</row>
    <row r="817">
      <c r="A817" s="35" t="n"/>
      <c r="B817" s="35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</row>
    <row r="818">
      <c r="A818" s="35" t="n"/>
      <c r="B818" s="35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</row>
    <row r="819">
      <c r="A819" s="35" t="n"/>
      <c r="B819" s="35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</row>
    <row r="820">
      <c r="A820" s="35" t="n"/>
      <c r="B820" s="35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</row>
    <row r="821">
      <c r="A821" s="35" t="n"/>
      <c r="B821" s="35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</row>
    <row r="822">
      <c r="A822" s="35" t="n"/>
      <c r="B822" s="35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</row>
    <row r="823">
      <c r="A823" s="35" t="n"/>
      <c r="B823" s="35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</row>
    <row r="824">
      <c r="A824" s="35" t="n"/>
      <c r="B824" s="35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</row>
    <row r="825">
      <c r="A825" s="35" t="n"/>
      <c r="B825" s="35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</row>
    <row r="826">
      <c r="A826" s="35" t="n"/>
      <c r="B826" s="35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</row>
    <row r="827">
      <c r="A827" s="35" t="n"/>
      <c r="B827" s="35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</row>
    <row r="828">
      <c r="A828" s="35" t="n"/>
      <c r="B828" s="35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</row>
    <row r="829">
      <c r="A829" s="35" t="n"/>
      <c r="B829" s="35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</row>
    <row r="830">
      <c r="A830" s="35" t="n"/>
      <c r="B830" s="35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</row>
    <row r="831">
      <c r="A831" s="35" t="n"/>
      <c r="B831" s="35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</row>
    <row r="832">
      <c r="A832" s="35" t="n"/>
      <c r="B832" s="35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</row>
    <row r="833">
      <c r="A833" s="35" t="n"/>
      <c r="B833" s="35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</row>
    <row r="834">
      <c r="A834" s="35" t="n"/>
      <c r="B834" s="35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</row>
    <row r="835">
      <c r="A835" s="35" t="n"/>
      <c r="B835" s="35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</row>
    <row r="836">
      <c r="A836" s="35" t="n"/>
      <c r="B836" s="35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</row>
    <row r="837">
      <c r="A837" s="35" t="n"/>
      <c r="B837" s="35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</row>
    <row r="838">
      <c r="A838" s="35" t="n"/>
      <c r="B838" s="35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</row>
    <row r="839">
      <c r="A839" s="35" t="n"/>
      <c r="B839" s="35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</row>
    <row r="840">
      <c r="A840" s="35" t="n"/>
      <c r="B840" s="35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</row>
    <row r="841">
      <c r="A841" s="35" t="n"/>
      <c r="B841" s="35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</row>
    <row r="842">
      <c r="A842" s="35" t="n"/>
      <c r="B842" s="35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</row>
    <row r="843">
      <c r="A843" s="35" t="n"/>
      <c r="B843" s="35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</row>
    <row r="844">
      <c r="A844" s="35" t="n"/>
      <c r="B844" s="35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</row>
    <row r="845">
      <c r="A845" s="35" t="n"/>
      <c r="B845" s="35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</row>
    <row r="846">
      <c r="A846" s="35" t="n"/>
      <c r="B846" s="35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</row>
    <row r="847">
      <c r="A847" s="35" t="n"/>
      <c r="B847" s="35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</row>
    <row r="848">
      <c r="A848" s="35" t="n"/>
      <c r="B848" s="35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</row>
    <row r="849">
      <c r="A849" s="35" t="n"/>
      <c r="B849" s="35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</row>
    <row r="850">
      <c r="A850" s="35" t="n"/>
      <c r="B850" s="35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</row>
    <row r="851">
      <c r="A851" s="35" t="n"/>
      <c r="B851" s="35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</row>
    <row r="852">
      <c r="A852" s="35" t="n"/>
      <c r="B852" s="35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</row>
    <row r="853">
      <c r="A853" s="35" t="n"/>
      <c r="B853" s="35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</row>
    <row r="854">
      <c r="A854" s="35" t="n"/>
      <c r="B854" s="35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</row>
    <row r="855">
      <c r="A855" s="35" t="n"/>
      <c r="B855" s="35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</row>
    <row r="856">
      <c r="A856" s="35" t="n"/>
      <c r="B856" s="35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</row>
    <row r="857">
      <c r="A857" s="35" t="n"/>
      <c r="B857" s="35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</row>
    <row r="858">
      <c r="A858" s="35" t="n"/>
      <c r="B858" s="35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</row>
    <row r="859">
      <c r="A859" s="35" t="n"/>
      <c r="B859" s="35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</row>
    <row r="860">
      <c r="A860" s="35" t="n"/>
      <c r="B860" s="35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</row>
    <row r="861">
      <c r="A861" s="35" t="n"/>
      <c r="B861" s="35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</row>
    <row r="862">
      <c r="A862" s="35" t="n"/>
      <c r="B862" s="35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</row>
    <row r="863">
      <c r="A863" s="35" t="n"/>
      <c r="B863" s="35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</row>
    <row r="864">
      <c r="A864" s="35" t="n"/>
      <c r="B864" s="35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</row>
    <row r="865">
      <c r="A865" s="35" t="n"/>
      <c r="B865" s="35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</row>
    <row r="866">
      <c r="A866" s="35" t="n"/>
      <c r="B866" s="35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</row>
    <row r="867">
      <c r="A867" s="35" t="n"/>
      <c r="B867" s="35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</row>
    <row r="868">
      <c r="A868" s="35" t="n"/>
      <c r="B868" s="35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</row>
    <row r="869">
      <c r="A869" s="35" t="n"/>
      <c r="B869" s="35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</row>
    <row r="870">
      <c r="A870" s="35" t="n"/>
      <c r="B870" s="35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</row>
    <row r="871">
      <c r="A871" s="35" t="n"/>
      <c r="B871" s="35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</row>
    <row r="872">
      <c r="A872" s="35" t="n"/>
      <c r="B872" s="35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</row>
    <row r="873">
      <c r="A873" s="35" t="n"/>
      <c r="B873" s="35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</row>
    <row r="874">
      <c r="A874" s="35" t="n"/>
      <c r="B874" s="35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</row>
    <row r="875">
      <c r="A875" s="35" t="n"/>
      <c r="B875" s="35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</row>
    <row r="876">
      <c r="A876" s="35" t="n"/>
      <c r="B876" s="35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</row>
    <row r="877">
      <c r="A877" s="35" t="n"/>
      <c r="B877" s="35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</row>
    <row r="878">
      <c r="A878" s="35" t="n"/>
      <c r="B878" s="35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</row>
    <row r="879">
      <c r="A879" s="35" t="n"/>
      <c r="B879" s="35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</row>
    <row r="880">
      <c r="A880" s="35" t="n"/>
      <c r="B880" s="35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</row>
    <row r="881">
      <c r="A881" s="35" t="n"/>
      <c r="B881" s="35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</row>
    <row r="882">
      <c r="A882" s="35" t="n"/>
      <c r="B882" s="35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</row>
    <row r="883">
      <c r="A883" s="35" t="n"/>
      <c r="B883" s="35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</row>
    <row r="884">
      <c r="A884" s="35" t="n"/>
      <c r="B884" s="35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</row>
    <row r="885">
      <c r="A885" s="35" t="n"/>
      <c r="B885" s="35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</row>
    <row r="886">
      <c r="A886" s="35" t="n"/>
      <c r="B886" s="35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</row>
    <row r="887">
      <c r="A887" s="35" t="n"/>
      <c r="B887" s="35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</row>
    <row r="888">
      <c r="A888" s="35" t="n"/>
      <c r="B888" s="35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</row>
    <row r="889">
      <c r="A889" s="35" t="n"/>
      <c r="B889" s="35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</row>
    <row r="890">
      <c r="A890" s="35" t="n"/>
      <c r="B890" s="35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</row>
    <row r="891">
      <c r="A891" s="35" t="n"/>
      <c r="B891" s="35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</row>
    <row r="892">
      <c r="A892" s="35" t="n"/>
      <c r="B892" s="35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</row>
    <row r="893">
      <c r="A893" s="35" t="n"/>
      <c r="B893" s="35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</row>
    <row r="894">
      <c r="A894" s="35" t="n"/>
      <c r="B894" s="35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</row>
    <row r="895">
      <c r="A895" s="35" t="n"/>
      <c r="B895" s="35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</row>
    <row r="896">
      <c r="A896" s="35" t="n"/>
      <c r="B896" s="35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</row>
    <row r="897">
      <c r="A897" s="35" t="n"/>
      <c r="B897" s="35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</row>
    <row r="898">
      <c r="A898" s="35" t="n"/>
      <c r="B898" s="35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</row>
    <row r="899">
      <c r="A899" s="35" t="n"/>
      <c r="B899" s="35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</row>
    <row r="900">
      <c r="A900" s="35" t="n"/>
      <c r="B900" s="35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</row>
    <row r="901">
      <c r="A901" s="35" t="n"/>
      <c r="B901" s="35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</row>
    <row r="902">
      <c r="A902" s="35" t="n"/>
      <c r="B902" s="35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</row>
    <row r="903">
      <c r="A903" s="35" t="n"/>
      <c r="B903" s="35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</row>
    <row r="904">
      <c r="A904" s="35" t="n"/>
      <c r="B904" s="35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</row>
    <row r="905">
      <c r="A905" s="35" t="n"/>
      <c r="B905" s="35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</row>
    <row r="906">
      <c r="A906" s="35" t="n"/>
      <c r="B906" s="35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</row>
    <row r="907">
      <c r="A907" s="35" t="n"/>
      <c r="B907" s="35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</row>
    <row r="908">
      <c r="A908" s="35" t="n"/>
      <c r="B908" s="35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</row>
    <row r="909">
      <c r="A909" s="35" t="n"/>
      <c r="B909" s="35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</row>
    <row r="910">
      <c r="A910" s="35" t="n"/>
      <c r="B910" s="35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</row>
    <row r="911">
      <c r="A911" s="35" t="n"/>
      <c r="B911" s="35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</row>
    <row r="912">
      <c r="A912" s="35" t="n"/>
      <c r="B912" s="35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</row>
    <row r="913">
      <c r="A913" s="35" t="n"/>
      <c r="B913" s="35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</row>
    <row r="914">
      <c r="A914" s="35" t="n"/>
      <c r="B914" s="35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</row>
    <row r="915">
      <c r="A915" s="35" t="n"/>
      <c r="B915" s="35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</row>
    <row r="916">
      <c r="A916" s="35" t="n"/>
      <c r="B916" s="35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</row>
    <row r="917">
      <c r="A917" s="35" t="n"/>
      <c r="B917" s="35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</row>
    <row r="918">
      <c r="A918" s="35" t="n"/>
      <c r="B918" s="35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</row>
    <row r="919">
      <c r="A919" s="35" t="n"/>
      <c r="B919" s="35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</row>
    <row r="920">
      <c r="A920" s="35" t="n"/>
      <c r="B920" s="35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</row>
    <row r="921">
      <c r="A921" s="35" t="n"/>
      <c r="B921" s="35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</row>
    <row r="922">
      <c r="A922" s="35" t="n"/>
      <c r="B922" s="35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</row>
    <row r="923">
      <c r="A923" s="35" t="n"/>
      <c r="B923" s="35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</row>
    <row r="924">
      <c r="A924" s="35" t="n"/>
      <c r="B924" s="35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</row>
    <row r="925">
      <c r="A925" s="35" t="n"/>
      <c r="B925" s="35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</row>
    <row r="926">
      <c r="A926" s="35" t="n"/>
      <c r="B926" s="35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</row>
    <row r="927">
      <c r="A927" s="35" t="n"/>
      <c r="B927" s="35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</row>
    <row r="928">
      <c r="A928" s="35" t="n"/>
      <c r="B928" s="35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</row>
    <row r="929">
      <c r="A929" s="35" t="n"/>
      <c r="B929" s="35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</row>
    <row r="930">
      <c r="A930" s="35" t="n"/>
      <c r="B930" s="35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</row>
    <row r="931">
      <c r="A931" s="35" t="n"/>
      <c r="B931" s="35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</row>
    <row r="932">
      <c r="A932" s="35" t="n"/>
      <c r="B932" s="35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</row>
    <row r="933">
      <c r="A933" s="35" t="n"/>
      <c r="B933" s="35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</row>
    <row r="934">
      <c r="A934" s="35" t="n"/>
      <c r="B934" s="35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</row>
    <row r="935">
      <c r="A935" s="35" t="n"/>
      <c r="B935" s="35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</row>
    <row r="936">
      <c r="A936" s="35" t="n"/>
      <c r="B936" s="35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</row>
    <row r="937">
      <c r="A937" s="35" t="n"/>
      <c r="B937" s="35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</row>
    <row r="938">
      <c r="A938" s="35" t="n"/>
      <c r="B938" s="35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</row>
    <row r="939">
      <c r="A939" s="35" t="n"/>
      <c r="B939" s="35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</row>
    <row r="940">
      <c r="A940" s="35" t="n"/>
      <c r="B940" s="35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</row>
    <row r="941">
      <c r="A941" s="35" t="n"/>
      <c r="B941" s="35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</row>
    <row r="942">
      <c r="A942" s="35" t="n"/>
      <c r="B942" s="35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</row>
    <row r="943">
      <c r="A943" s="35" t="n"/>
      <c r="B943" s="35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</row>
    <row r="944">
      <c r="A944" s="35" t="n"/>
      <c r="B944" s="35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</row>
    <row r="945">
      <c r="A945" s="35" t="n"/>
      <c r="B945" s="35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</row>
    <row r="946">
      <c r="A946" s="35" t="n"/>
      <c r="B946" s="35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</row>
    <row r="947">
      <c r="A947" s="35" t="n"/>
      <c r="B947" s="35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</row>
    <row r="948">
      <c r="A948" s="35" t="n"/>
      <c r="B948" s="35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</row>
    <row r="949">
      <c r="A949" s="35" t="n"/>
      <c r="B949" s="35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</row>
    <row r="950">
      <c r="A950" s="35" t="n"/>
      <c r="B950" s="35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</row>
    <row r="951">
      <c r="A951" s="35" t="n"/>
      <c r="B951" s="35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</row>
    <row r="952">
      <c r="A952" s="35" t="n"/>
      <c r="B952" s="35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</row>
    <row r="953">
      <c r="A953" s="35" t="n"/>
      <c r="B953" s="35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</row>
    <row r="954">
      <c r="A954" s="35" t="n"/>
      <c r="B954" s="35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</row>
    <row r="955">
      <c r="A955" s="35" t="n"/>
      <c r="B955" s="35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</row>
    <row r="956">
      <c r="A956" s="35" t="n"/>
      <c r="B956" s="35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</row>
    <row r="957">
      <c r="A957" s="35" t="n"/>
      <c r="B957" s="35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</row>
    <row r="958">
      <c r="A958" s="35" t="n"/>
      <c r="B958" s="35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</row>
    <row r="959">
      <c r="A959" s="35" t="n"/>
      <c r="B959" s="35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</row>
    <row r="960">
      <c r="A960" s="35" t="n"/>
      <c r="B960" s="35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</row>
    <row r="961">
      <c r="A961" s="35" t="n"/>
      <c r="B961" s="35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</row>
    <row r="962">
      <c r="A962" s="35" t="n"/>
      <c r="B962" s="35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</row>
    <row r="963">
      <c r="A963" s="35" t="n"/>
      <c r="B963" s="35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</row>
    <row r="964">
      <c r="A964" s="35" t="n"/>
      <c r="B964" s="35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</row>
    <row r="965">
      <c r="A965" s="35" t="n"/>
      <c r="B965" s="35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</row>
    <row r="966">
      <c r="A966" s="35" t="n"/>
      <c r="B966" s="35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</row>
    <row r="967">
      <c r="A967" s="35" t="n"/>
      <c r="B967" s="35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</row>
    <row r="968">
      <c r="A968" s="35" t="n"/>
      <c r="B968" s="35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</row>
    <row r="969">
      <c r="A969" s="35" t="n"/>
      <c r="B969" s="35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</row>
    <row r="970">
      <c r="A970" s="35" t="n"/>
      <c r="B970" s="35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</row>
    <row r="971">
      <c r="A971" s="35" t="n"/>
      <c r="B971" s="35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</row>
    <row r="972">
      <c r="A972" s="35" t="n"/>
      <c r="B972" s="35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</row>
    <row r="973">
      <c r="A973" s="35" t="n"/>
      <c r="B973" s="35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</row>
    <row r="974">
      <c r="A974" s="35" t="n"/>
      <c r="B974" s="35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</row>
    <row r="975">
      <c r="A975" s="35" t="n"/>
      <c r="B975" s="35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</row>
    <row r="976">
      <c r="A976" s="35" t="n"/>
      <c r="B976" s="35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</row>
    <row r="977">
      <c r="A977" s="35" t="n"/>
      <c r="B977" s="35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</row>
    <row r="978">
      <c r="A978" s="35" t="n"/>
      <c r="B978" s="35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</row>
    <row r="979">
      <c r="A979" s="35" t="n"/>
      <c r="B979" s="35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</row>
    <row r="980">
      <c r="A980" s="35" t="n"/>
      <c r="B980" s="35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</row>
    <row r="981">
      <c r="A981" s="35" t="n"/>
      <c r="B981" s="35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</row>
    <row r="982">
      <c r="A982" s="35" t="n"/>
      <c r="B982" s="35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</row>
    <row r="983">
      <c r="A983" s="35" t="n"/>
      <c r="B983" s="35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</row>
    <row r="984">
      <c r="A984" s="35" t="n"/>
      <c r="B984" s="35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</row>
    <row r="985">
      <c r="A985" s="35" t="n"/>
      <c r="B985" s="35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</row>
    <row r="986">
      <c r="A986" s="35" t="n"/>
      <c r="B986" s="35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</row>
    <row r="987">
      <c r="A987" s="35" t="n"/>
      <c r="B987" s="35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</row>
    <row r="988">
      <c r="A988" s="35" t="n"/>
      <c r="B988" s="35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</row>
    <row r="989">
      <c r="A989" s="35" t="n"/>
      <c r="B989" s="35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</row>
    <row r="990">
      <c r="A990" s="35" t="n"/>
      <c r="B990" s="35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</row>
    <row r="991">
      <c r="A991" s="35" t="n"/>
      <c r="B991" s="35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</row>
    <row r="992">
      <c r="A992" s="35" t="n"/>
      <c r="B992" s="35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</row>
    <row r="993">
      <c r="A993" s="35" t="n"/>
      <c r="B993" s="35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</row>
    <row r="994">
      <c r="A994" s="35" t="n"/>
      <c r="B994" s="35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</row>
    <row r="995">
      <c r="A995" s="35" t="n"/>
      <c r="B995" s="35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</row>
    <row r="996">
      <c r="A996" s="35" t="n"/>
      <c r="B996" s="35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</row>
    <row r="997">
      <c r="A997" s="35" t="n"/>
      <c r="B997" s="35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</row>
    <row r="998">
      <c r="A998" s="35" t="n"/>
      <c r="B998" s="35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</row>
    <row r="999">
      <c r="A999" s="35" t="n"/>
      <c r="B999" s="35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</row>
    <row r="1000">
      <c r="A1000" s="35" t="n"/>
      <c r="B1000" s="35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</row>
    <row r="1001">
      <c r="A1001" s="35" t="n"/>
      <c r="B1001" s="35" t="n"/>
      <c r="C1001" s="35" t="n"/>
      <c r="D1001" s="35" t="n"/>
      <c r="E1001" s="35" t="n"/>
      <c r="F1001" s="35" t="n"/>
      <c r="G1001" s="35" t="n"/>
      <c r="H1001" s="35" t="n"/>
      <c r="I1001" s="35" t="n"/>
      <c r="J1001" s="35" t="n"/>
      <c r="K1001" s="35" t="n"/>
      <c r="L1001" s="35" t="n"/>
      <c r="M1001" s="35" t="n"/>
      <c r="N1001" s="35" t="n"/>
      <c r="O1001" s="35" t="n"/>
      <c r="P1001" s="35" t="n"/>
      <c r="Q1001" s="35" t="n"/>
      <c r="R1001" s="35" t="n"/>
    </row>
    <row r="1002">
      <c r="A1002" s="35" t="n"/>
      <c r="B1002" s="35" t="n"/>
      <c r="C1002" s="35" t="n"/>
      <c r="D1002" s="35" t="n"/>
      <c r="E1002" s="35" t="n"/>
      <c r="F1002" s="35" t="n"/>
      <c r="G1002" s="35" t="n"/>
      <c r="H1002" s="35" t="n"/>
      <c r="I1002" s="35" t="n"/>
      <c r="J1002" s="35" t="n"/>
      <c r="K1002" s="35" t="n"/>
      <c r="L1002" s="35" t="n"/>
      <c r="M1002" s="35" t="n"/>
      <c r="N1002" s="35" t="n"/>
      <c r="O1002" s="35" t="n"/>
      <c r="P1002" s="35" t="n"/>
      <c r="Q1002" s="35" t="n"/>
      <c r="R1002" s="35" t="n"/>
    </row>
    <row r="1003">
      <c r="A1003" s="35" t="n"/>
      <c r="B1003" s="35" t="n"/>
      <c r="C1003" s="35" t="n"/>
      <c r="D1003" s="35" t="n"/>
      <c r="E1003" s="35" t="n"/>
      <c r="F1003" s="35" t="n"/>
      <c r="G1003" s="35" t="n"/>
      <c r="H1003" s="35" t="n"/>
      <c r="I1003" s="35" t="n"/>
      <c r="J1003" s="35" t="n"/>
      <c r="K1003" s="35" t="n"/>
      <c r="L1003" s="35" t="n"/>
      <c r="M1003" s="35" t="n"/>
      <c r="N1003" s="35" t="n"/>
      <c r="O1003" s="35" t="n"/>
      <c r="P1003" s="35" t="n"/>
      <c r="Q1003" s="35" t="n"/>
      <c r="R1003" s="35" t="n"/>
    </row>
    <row r="1004">
      <c r="A1004" s="35" t="n"/>
      <c r="B1004" s="35" t="n"/>
      <c r="C1004" s="35" t="n"/>
      <c r="D1004" s="35" t="n"/>
      <c r="E1004" s="35" t="n"/>
      <c r="F1004" s="35" t="n"/>
      <c r="G1004" s="35" t="n"/>
      <c r="H1004" s="35" t="n"/>
      <c r="I1004" s="35" t="n"/>
      <c r="J1004" s="35" t="n"/>
      <c r="K1004" s="35" t="n"/>
      <c r="L1004" s="35" t="n"/>
      <c r="M1004" s="35" t="n"/>
      <c r="N1004" s="35" t="n"/>
      <c r="O1004" s="35" t="n"/>
      <c r="P1004" s="35" t="n"/>
      <c r="Q1004" s="35" t="n"/>
      <c r="R1004" s="35" t="n"/>
    </row>
    <row r="1005">
      <c r="A1005" s="35" t="n"/>
      <c r="B1005" s="35" t="n"/>
      <c r="C1005" s="35" t="n"/>
      <c r="D1005" s="35" t="n"/>
      <c r="E1005" s="35" t="n"/>
      <c r="F1005" s="35" t="n"/>
      <c r="G1005" s="35" t="n"/>
      <c r="H1005" s="35" t="n"/>
      <c r="I1005" s="35" t="n"/>
      <c r="J1005" s="35" t="n"/>
      <c r="K1005" s="35" t="n"/>
      <c r="L1005" s="35" t="n"/>
      <c r="M1005" s="35" t="n"/>
      <c r="N1005" s="35" t="n"/>
      <c r="O1005" s="35" t="n"/>
      <c r="P1005" s="35" t="n"/>
      <c r="Q1005" s="35" t="n"/>
      <c r="R1005" s="35" t="n"/>
    </row>
    <row r="1006">
      <c r="A1006" s="35" t="n"/>
      <c r="B1006" s="35" t="n"/>
      <c r="C1006" s="35" t="n"/>
      <c r="D1006" s="35" t="n"/>
      <c r="E1006" s="35" t="n"/>
      <c r="F1006" s="35" t="n"/>
      <c r="G1006" s="35" t="n"/>
      <c r="H1006" s="35" t="n"/>
      <c r="I1006" s="35" t="n"/>
      <c r="J1006" s="35" t="n"/>
      <c r="K1006" s="35" t="n"/>
      <c r="L1006" s="35" t="n"/>
      <c r="M1006" s="35" t="n"/>
      <c r="N1006" s="35" t="n"/>
      <c r="O1006" s="35" t="n"/>
      <c r="P1006" s="35" t="n"/>
      <c r="Q1006" s="35" t="n"/>
      <c r="R1006" s="35" t="n"/>
    </row>
    <row r="1007">
      <c r="A1007" s="35" t="n"/>
      <c r="B1007" s="35" t="n"/>
      <c r="C1007" s="35" t="n"/>
      <c r="D1007" s="35" t="n"/>
      <c r="E1007" s="35" t="n"/>
      <c r="F1007" s="35" t="n"/>
      <c r="G1007" s="35" t="n"/>
      <c r="H1007" s="35" t="n"/>
      <c r="I1007" s="35" t="n"/>
      <c r="J1007" s="35" t="n"/>
      <c r="K1007" s="35" t="n"/>
      <c r="L1007" s="35" t="n"/>
      <c r="M1007" s="35" t="n"/>
      <c r="N1007" s="35" t="n"/>
      <c r="O1007" s="35" t="n"/>
      <c r="P1007" s="35" t="n"/>
      <c r="Q1007" s="35" t="n"/>
      <c r="R1007" s="35" t="n"/>
    </row>
    <row r="1008">
      <c r="A1008" s="35" t="n"/>
      <c r="B1008" s="35" t="n"/>
      <c r="C1008" s="35" t="n"/>
      <c r="D1008" s="35" t="n"/>
      <c r="E1008" s="35" t="n"/>
      <c r="F1008" s="35" t="n"/>
      <c r="G1008" s="35" t="n"/>
      <c r="H1008" s="35" t="n"/>
      <c r="I1008" s="35" t="n"/>
      <c r="J1008" s="35" t="n"/>
      <c r="K1008" s="35" t="n"/>
      <c r="L1008" s="35" t="n"/>
      <c r="M1008" s="35" t="n"/>
      <c r="N1008" s="35" t="n"/>
      <c r="O1008" s="35" t="n"/>
      <c r="P1008" s="35" t="n"/>
      <c r="Q1008" s="35" t="n"/>
      <c r="R1008" s="35" t="n"/>
    </row>
    <row r="1009">
      <c r="A1009" s="35" t="n"/>
      <c r="B1009" s="35" t="n"/>
      <c r="C1009" s="35" t="n"/>
      <c r="D1009" s="35" t="n"/>
      <c r="E1009" s="35" t="n"/>
      <c r="F1009" s="35" t="n"/>
      <c r="G1009" s="35" t="n"/>
      <c r="H1009" s="35" t="n"/>
      <c r="I1009" s="35" t="n"/>
      <c r="J1009" s="35" t="n"/>
      <c r="K1009" s="35" t="n"/>
      <c r="L1009" s="35" t="n"/>
      <c r="M1009" s="35" t="n"/>
      <c r="N1009" s="35" t="n"/>
      <c r="O1009" s="35" t="n"/>
      <c r="P1009" s="35" t="n"/>
      <c r="Q1009" s="35" t="n"/>
      <c r="R1009" s="35" t="n"/>
    </row>
    <row r="1010">
      <c r="A1010" s="35" t="n"/>
      <c r="B1010" s="35" t="n"/>
      <c r="C1010" s="35" t="n"/>
      <c r="D1010" s="35" t="n"/>
      <c r="E1010" s="35" t="n"/>
      <c r="F1010" s="35" t="n"/>
      <c r="G1010" s="35" t="n"/>
      <c r="H1010" s="35" t="n"/>
      <c r="I1010" s="35" t="n"/>
      <c r="J1010" s="35" t="n"/>
      <c r="K1010" s="35" t="n"/>
      <c r="L1010" s="35" t="n"/>
      <c r="M1010" s="35" t="n"/>
      <c r="N1010" s="35" t="n"/>
      <c r="O1010" s="35" t="n"/>
      <c r="P1010" s="35" t="n"/>
      <c r="Q1010" s="35" t="n"/>
      <c r="R1010" s="35" t="n"/>
    </row>
    <row r="1011">
      <c r="A1011" s="35" t="n"/>
      <c r="B1011" s="35" t="n"/>
      <c r="C1011" s="35" t="n"/>
      <c r="D1011" s="35" t="n"/>
      <c r="E1011" s="35" t="n"/>
      <c r="F1011" s="35" t="n"/>
      <c r="G1011" s="35" t="n"/>
      <c r="H1011" s="35" t="n"/>
      <c r="I1011" s="35" t="n"/>
      <c r="J1011" s="35" t="n"/>
      <c r="K1011" s="35" t="n"/>
      <c r="L1011" s="35" t="n"/>
      <c r="M1011" s="35" t="n"/>
      <c r="N1011" s="35" t="n"/>
      <c r="O1011" s="35" t="n"/>
      <c r="P1011" s="35" t="n"/>
      <c r="Q1011" s="35" t="n"/>
      <c r="R1011" s="35" t="n"/>
    </row>
    <row r="1012">
      <c r="A1012" s="35" t="n"/>
      <c r="B1012" s="35" t="n"/>
      <c r="C1012" s="35" t="n"/>
      <c r="D1012" s="35" t="n"/>
      <c r="E1012" s="35" t="n"/>
      <c r="F1012" s="35" t="n"/>
      <c r="G1012" s="35" t="n"/>
      <c r="H1012" s="35" t="n"/>
      <c r="I1012" s="35" t="n"/>
      <c r="J1012" s="35" t="n"/>
      <c r="K1012" s="35" t="n"/>
      <c r="L1012" s="35" t="n"/>
      <c r="M1012" s="35" t="n"/>
      <c r="N1012" s="35" t="n"/>
      <c r="O1012" s="35" t="n"/>
      <c r="P1012" s="35" t="n"/>
      <c r="Q1012" s="35" t="n"/>
      <c r="R1012" s="35" t="n"/>
    </row>
  </sheetData>
  <mergeCells count="18">
    <mergeCell ref="B112:G112"/>
    <mergeCell ref="B28:G28"/>
    <mergeCell ref="B22:G22"/>
    <mergeCell ref="B7:G7"/>
    <mergeCell ref="B79:G79"/>
    <mergeCell ref="B1:G1"/>
    <mergeCell ref="B50:G50"/>
    <mergeCell ref="B106:G106"/>
    <mergeCell ref="B18:G18"/>
    <mergeCell ref="B58:G58"/>
    <mergeCell ref="B73:G73"/>
    <mergeCell ref="B97:G97"/>
    <mergeCell ref="B44:G44"/>
    <mergeCell ref="B64:G64"/>
    <mergeCell ref="B15:G15"/>
    <mergeCell ref="B91:G91"/>
    <mergeCell ref="B124:G124"/>
    <mergeCell ref="B130:G130"/>
  </mergeCells>
  <pageMargins left="0" right="0" top="0" bottom="0" header="0" footer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K6" sqref="K6"/>
    </sheetView>
  </sheetViews>
  <sheetFormatPr baseColWidth="8" defaultColWidth="14.42578125" defaultRowHeight="15" customHeight="1"/>
  <cols>
    <col width="10" customWidth="1" style="39" min="1" max="1"/>
    <col width="8" customWidth="1" style="39" min="2" max="2"/>
    <col width="29.140625" bestFit="1" customWidth="1" style="39" min="3" max="3"/>
    <col width="10" customWidth="1" style="39" min="4" max="4"/>
    <col width="14" customWidth="1" style="39" min="5" max="5"/>
    <col width="18" customWidth="1" style="39" min="6" max="6"/>
    <col width="12" customWidth="1" style="39" min="7" max="8"/>
    <col width="10" customWidth="1" style="39" min="9" max="9"/>
    <col width="8" customWidth="1" style="39" min="10" max="10"/>
    <col width="25" customWidth="1" style="39" min="11" max="11"/>
    <col width="8.7109375" customWidth="1" style="39" min="12" max="26"/>
  </cols>
  <sheetData>
    <row r="1">
      <c r="A1" s="31" t="inlineStr">
        <is>
          <t>SESSION LOG - Data Entry (Update After Each Session)</t>
        </is>
      </c>
    </row>
    <row r="2">
      <c r="A2" s="31" t="inlineStr">
        <is>
          <t>Session #</t>
        </is>
      </c>
      <c r="B2" s="31" t="inlineStr">
        <is>
          <t>Sprint</t>
        </is>
      </c>
      <c r="C2" s="9" t="inlineStr">
        <is>
          <t>Date</t>
        </is>
      </c>
      <c r="D2" s="31" t="n"/>
      <c r="E2" s="31" t="inlineStr">
        <is>
          <t>Target Stories</t>
        </is>
      </c>
      <c r="F2" s="31" t="inlineStr">
        <is>
          <t>Stories Refined (ENTER THIS)</t>
        </is>
      </c>
      <c r="G2" s="31" t="inlineStr">
        <is>
          <t>Cumulative</t>
        </is>
      </c>
      <c r="H2" s="31" t="inlineStr">
        <is>
          <t>Remaining</t>
        </is>
      </c>
      <c r="I2" s="31" t="inlineStr">
        <is>
          <t>Velocity</t>
        </is>
      </c>
      <c r="J2" s="31" t="inlineStr">
        <is>
          <t>Status</t>
        </is>
      </c>
      <c r="K2" s="53" t="inlineStr">
        <is>
          <t>PI(s) Worked</t>
        </is>
      </c>
    </row>
    <row r="3">
      <c r="A3" s="38" t="n">
        <v>1</v>
      </c>
      <c r="B3" s="38" t="n">
        <v>1</v>
      </c>
      <c r="C3" s="8" t="n">
        <v>45966</v>
      </c>
      <c r="E3" s="38" t="n">
        <v>7</v>
      </c>
      <c r="F3" s="38" t="n">
        <v>0</v>
      </c>
      <c r="G3" s="38">
        <f>SUM($F$3:F3)</f>
        <v/>
      </c>
      <c r="H3" s="38">
        <f>DASHBOARD!$C$7-G3</f>
        <v/>
      </c>
      <c r="I3" s="38">
        <f>F3</f>
        <v/>
      </c>
      <c r="J3" s="38">
        <f>IF(ISBLANK(I3),"",IF(I3&gt;=6.5,"🟢",IF(I3&gt;=4,"🟡","🔴")))</f>
        <v/>
      </c>
      <c r="K3" s="54" t="inlineStr">
        <is>
          <t>Enter PI labels: SSF_PI#01, SSF_PI#02, etc.</t>
        </is>
      </c>
    </row>
    <row r="4">
      <c r="A4" s="38" t="n">
        <v>2</v>
      </c>
      <c r="B4" s="38" t="n">
        <v>1</v>
      </c>
      <c r="C4" s="8" t="n">
        <v>45968</v>
      </c>
      <c r="E4" s="38" t="n">
        <v>7</v>
      </c>
      <c r="F4" s="38" t="n">
        <v>1</v>
      </c>
      <c r="G4" s="38">
        <f>SUM($F$3:F4)</f>
        <v/>
      </c>
      <c r="H4" s="38">
        <f>DASHBOARD!$C$7-G4</f>
        <v/>
      </c>
      <c r="I4" s="38">
        <f>F4</f>
        <v/>
      </c>
      <c r="J4" s="38">
        <f>IF(ISBLANK(I4),"",IF(I4&gt;=6.5,"🟢",IF(I4&gt;=4,"🟡","🔴")))</f>
        <v/>
      </c>
      <c r="K4" s="38" t="inlineStr">
        <is>
          <t>Team alignment</t>
        </is>
      </c>
    </row>
    <row r="5">
      <c r="A5" s="38" t="n">
        <v>3</v>
      </c>
      <c r="B5" s="38" t="n">
        <v>1</v>
      </c>
      <c r="C5" s="8" t="n">
        <v>45973</v>
      </c>
      <c r="E5" s="38" t="n">
        <v>7</v>
      </c>
      <c r="F5" t="n">
        <v>2</v>
      </c>
      <c r="G5" s="38">
        <f>SUM($F$3:F5)</f>
        <v/>
      </c>
      <c r="H5" s="38">
        <f>DASHBOARD!$C$7-G5</f>
        <v/>
      </c>
      <c r="I5" s="38">
        <f>F5</f>
        <v/>
      </c>
      <c r="J5" s="38">
        <f>IF(ISBLANK(I5),"",IF(I5&gt;=6.5,"🟢",IF(I5&gt;=4,"🟡","🔴")))</f>
        <v/>
      </c>
      <c r="K5" t="inlineStr">
        <is>
          <t>Gear Management</t>
        </is>
      </c>
    </row>
    <row r="6">
      <c r="A6" s="38" t="n">
        <v>4</v>
      </c>
      <c r="B6" s="38" t="n">
        <v>2</v>
      </c>
      <c r="C6" s="8" t="n">
        <v>45980</v>
      </c>
      <c r="E6" s="38" t="n">
        <v>7</v>
      </c>
      <c r="G6" s="38">
        <f>SUM($F$3:F6)</f>
        <v/>
      </c>
      <c r="H6" s="38">
        <f>DASHBOARD!$C$7-G6</f>
        <v/>
      </c>
      <c r="I6" s="38">
        <f>F6</f>
        <v/>
      </c>
      <c r="J6" s="38">
        <f>IF(ISBLANK(I6),"",IF(I6&gt;=6.5,"🟢",IF(I6&gt;=4,"🟡","🔴")))</f>
        <v/>
      </c>
    </row>
    <row r="7">
      <c r="A7" s="38" t="n">
        <v>5</v>
      </c>
      <c r="B7" s="38" t="n">
        <v>2</v>
      </c>
      <c r="C7" s="8" t="n">
        <v>45982</v>
      </c>
      <c r="E7" s="38" t="n">
        <v>7</v>
      </c>
      <c r="G7" s="38">
        <f>SUM($F$3:F7)</f>
        <v/>
      </c>
      <c r="H7" s="38">
        <f>DASHBOARD!$C$7-G7</f>
        <v/>
      </c>
      <c r="I7" s="38">
        <f>F7</f>
        <v/>
      </c>
      <c r="J7" s="38">
        <f>IF(ISBLANK(I7),"",IF(I7&gt;=6.5,"🟢",IF(I7&gt;=4,"🟡","🔴")))</f>
        <v/>
      </c>
    </row>
    <row r="8">
      <c r="A8" s="38" t="n">
        <v>6</v>
      </c>
      <c r="B8" s="38" t="n">
        <v>2</v>
      </c>
      <c r="C8" s="8" t="n">
        <v>45987</v>
      </c>
      <c r="E8" s="38" t="n">
        <v>7</v>
      </c>
      <c r="G8" s="38">
        <f>SUM($F$3:F8)</f>
        <v/>
      </c>
      <c r="H8" s="38">
        <f>DASHBOARD!$C$7-G8</f>
        <v/>
      </c>
      <c r="I8" s="38">
        <f>F8</f>
        <v/>
      </c>
      <c r="J8" s="38">
        <f>IF(ISBLANK(I8),"",IF(I8&gt;=6.5,"🟢",IF(I8&gt;=4,"🟡","🔴")))</f>
        <v/>
      </c>
    </row>
    <row r="9">
      <c r="A9" s="38" t="n">
        <v>7</v>
      </c>
      <c r="B9" s="38" t="n">
        <v>3</v>
      </c>
      <c r="C9" s="8" t="n">
        <v>45994</v>
      </c>
      <c r="E9" s="38" t="n">
        <v>7</v>
      </c>
      <c r="G9" s="38">
        <f>SUM($F$3:F9)</f>
        <v/>
      </c>
      <c r="H9" s="38">
        <f>DASHBOARD!$C$7-G9</f>
        <v/>
      </c>
      <c r="I9" s="38">
        <f>F9</f>
        <v/>
      </c>
      <c r="J9" s="38">
        <f>IF(ISBLANK(I9),"",IF(I9&gt;=6.5,"🟢",IF(I9&gt;=4,"🟡","🔴")))</f>
        <v/>
      </c>
    </row>
    <row r="10">
      <c r="A10" s="38" t="n">
        <v>8</v>
      </c>
      <c r="B10" s="38" t="n">
        <v>3</v>
      </c>
      <c r="C10" s="8" t="n">
        <v>45996</v>
      </c>
      <c r="E10" s="38" t="n">
        <v>7</v>
      </c>
      <c r="G10" s="38">
        <f>SUM($F$3:F10)</f>
        <v/>
      </c>
      <c r="H10" s="38">
        <f>DASHBOARD!$C$7-G10</f>
        <v/>
      </c>
      <c r="I10" s="38">
        <f>F10</f>
        <v/>
      </c>
      <c r="J10" s="38">
        <f>IF(ISBLANK(I10),"",IF(I10&gt;=6.5,"🟢",IF(I10&gt;=4,"🟡","🔴")))</f>
        <v/>
      </c>
    </row>
    <row r="11">
      <c r="A11" s="38" t="n">
        <v>9</v>
      </c>
      <c r="B11" s="38" t="n">
        <v>3</v>
      </c>
      <c r="C11" s="8" t="n">
        <v>46001</v>
      </c>
      <c r="E11" s="38" t="n">
        <v>7</v>
      </c>
      <c r="G11" s="38">
        <f>SUM($F$3:F11)</f>
        <v/>
      </c>
      <c r="H11" s="38">
        <f>DASHBOARD!$C$7-G11</f>
        <v/>
      </c>
      <c r="I11" s="38">
        <f>F11</f>
        <v/>
      </c>
      <c r="J11" s="38">
        <f>IF(ISBLANK(I11),"",IF(I11&gt;=6.5,"🟢",IF(I11&gt;=4,"🟡","🔴")))</f>
        <v/>
      </c>
    </row>
    <row r="12">
      <c r="A12" s="38" t="n">
        <v>10</v>
      </c>
      <c r="B12" s="38" t="n">
        <v>4</v>
      </c>
      <c r="C12" s="8" t="n">
        <v>46008</v>
      </c>
      <c r="E12" s="38" t="n">
        <v>7</v>
      </c>
      <c r="G12" s="38">
        <f>SUM($F$3:F12)</f>
        <v/>
      </c>
      <c r="H12" s="38">
        <f>DASHBOARD!$C$7-G12</f>
        <v/>
      </c>
      <c r="I12" s="38">
        <f>F12</f>
        <v/>
      </c>
      <c r="J12" s="38">
        <f>IF(ISBLANK(I12),"",IF(I12&gt;=6.5,"🟢",IF(I12&gt;=4,"🟡","🔴")))</f>
        <v/>
      </c>
    </row>
    <row r="13">
      <c r="A13" s="38" t="n">
        <v>11</v>
      </c>
      <c r="B13" s="38" t="n">
        <v>4</v>
      </c>
      <c r="C13" s="8" t="n">
        <v>46010</v>
      </c>
      <c r="E13" s="38" t="n">
        <v>7</v>
      </c>
      <c r="G13" s="38">
        <f>SUM($F$3:F13)</f>
        <v/>
      </c>
      <c r="H13" s="38">
        <f>DASHBOARD!$C$7-G13</f>
        <v/>
      </c>
      <c r="I13" s="38">
        <f>F13</f>
        <v/>
      </c>
      <c r="J13" s="38">
        <f>IF(ISBLANK(I13),"",IF(I13&gt;=6.5,"🟢",IF(I13&gt;=4,"🟡","🔴")))</f>
        <v/>
      </c>
    </row>
    <row r="14">
      <c r="A14" s="38" t="n">
        <v>12</v>
      </c>
      <c r="B14" s="38" t="n">
        <v>4</v>
      </c>
      <c r="C14" s="8" t="n">
        <v>46015</v>
      </c>
      <c r="E14" s="38" t="n">
        <v>7</v>
      </c>
      <c r="G14" s="38">
        <f>SUM($F$3:F14)</f>
        <v/>
      </c>
      <c r="H14" s="38">
        <f>DASHBOARD!$C$7-G14</f>
        <v/>
      </c>
      <c r="I14" s="38">
        <f>F14</f>
        <v/>
      </c>
      <c r="J14" s="38">
        <f>IF(ISBLANK(I14),"",IF(I14&gt;=6.5,"🟢",IF(I14&gt;=4,"🟡","🔴")))</f>
        <v/>
      </c>
    </row>
    <row r="15">
      <c r="A15" s="38" t="n">
        <v>13</v>
      </c>
      <c r="B15" s="38" t="n">
        <v>5</v>
      </c>
      <c r="C15" s="8" t="n">
        <v>46029</v>
      </c>
      <c r="E15" s="38" t="n">
        <v>7</v>
      </c>
      <c r="G15" s="38">
        <f>SUM($F$3:F15)</f>
        <v/>
      </c>
      <c r="H15" s="38">
        <f>DASHBOARD!$C$7-G15</f>
        <v/>
      </c>
      <c r="I15" s="38">
        <f>F15</f>
        <v/>
      </c>
      <c r="J15" s="38">
        <f>IF(ISBLANK(I15),"",IF(I15&gt;=6.5,"🟢",IF(I15&gt;=4,"🟡","🔴")))</f>
        <v/>
      </c>
    </row>
    <row r="16">
      <c r="A16" s="38" t="n">
        <v>14</v>
      </c>
      <c r="B16" s="38" t="n">
        <v>5</v>
      </c>
      <c r="C16" s="8" t="n">
        <v>46031</v>
      </c>
      <c r="E16" s="38" t="n">
        <v>7</v>
      </c>
      <c r="G16" s="38">
        <f>SUM($F$3:F16)</f>
        <v/>
      </c>
      <c r="H16" s="38">
        <f>DASHBOARD!$C$7-G16</f>
        <v/>
      </c>
      <c r="I16" s="38">
        <f>F16</f>
        <v/>
      </c>
      <c r="J16" s="38">
        <f>IF(ISBLANK(I16),"",IF(I16&gt;=6.5,"🟢",IF(I16&gt;=4,"🟡","🔴")))</f>
        <v/>
      </c>
    </row>
    <row r="17">
      <c r="A17" s="38" t="n">
        <v>15</v>
      </c>
      <c r="B17" s="38" t="n">
        <v>5</v>
      </c>
      <c r="C17" s="8" t="n">
        <v>46036</v>
      </c>
      <c r="E17" s="38" t="n">
        <v>7</v>
      </c>
      <c r="G17" s="38">
        <f>SUM($F$3:F17)</f>
        <v/>
      </c>
      <c r="H17" s="38">
        <f>DASHBOARD!$C$7-G17</f>
        <v/>
      </c>
      <c r="I17" s="38">
        <f>F17</f>
        <v/>
      </c>
      <c r="J17" s="38">
        <f>IF(ISBLANK(I17),"",IF(I17&gt;=6.5,"🟢",IF(I17&gt;=4,"🟡","🔴")))</f>
        <v/>
      </c>
    </row>
    <row r="18">
      <c r="C18" s="8" t="n"/>
    </row>
    <row r="19">
      <c r="A19" s="27" t="inlineStr">
        <is>
          <t>INSTRUCTIONS: Update ONLY column F after each session. Everything else auto-calculates!</t>
        </is>
      </c>
      <c r="C19" s="8" t="n"/>
    </row>
    <row r="20">
      <c r="C20" s="8" t="n"/>
    </row>
    <row r="21" ht="15.75" customHeight="1" s="39">
      <c r="C21" s="8" t="n"/>
    </row>
    <row r="22" ht="15.75" customHeight="1" s="39">
      <c r="C22" s="8" t="n"/>
    </row>
    <row r="23" ht="15.75" customHeight="1" s="39">
      <c r="C23" s="8" t="n"/>
    </row>
    <row r="24" ht="15.75" customHeight="1" s="39">
      <c r="C24" s="8" t="n"/>
    </row>
    <row r="25" ht="15.75" customHeight="1" s="39">
      <c r="C25" s="8" t="n"/>
    </row>
    <row r="26" ht="15.75" customHeight="1" s="39">
      <c r="C26" s="8" t="n"/>
    </row>
    <row r="27" ht="15.75" customHeight="1" s="39">
      <c r="C27" s="8" t="n"/>
    </row>
    <row r="28" ht="15.75" customHeight="1" s="39">
      <c r="C28" s="8" t="n"/>
    </row>
    <row r="29" ht="15.75" customHeight="1" s="39">
      <c r="C29" s="8" t="n"/>
    </row>
    <row r="30" ht="15.75" customHeight="1" s="39">
      <c r="C30" s="8" t="n"/>
    </row>
    <row r="31" ht="15.75" customHeight="1" s="39">
      <c r="C31" s="8" t="n"/>
    </row>
    <row r="32" ht="15.75" customHeight="1" s="39">
      <c r="C32" s="8" t="n"/>
    </row>
    <row r="33" ht="15.75" customHeight="1" s="39">
      <c r="C33" s="8" t="n"/>
    </row>
    <row r="34" ht="15.75" customHeight="1" s="39">
      <c r="C34" s="8" t="n"/>
    </row>
    <row r="35" ht="15.75" customHeight="1" s="39">
      <c r="C35" s="8" t="n"/>
    </row>
    <row r="36" ht="15.75" customHeight="1" s="39">
      <c r="C36" s="8" t="n"/>
    </row>
    <row r="37" ht="15.75" customHeight="1" s="39">
      <c r="C37" s="8" t="n"/>
    </row>
    <row r="38" ht="15.75" customHeight="1" s="39">
      <c r="C38" s="8" t="n"/>
    </row>
    <row r="39" ht="15.75" customHeight="1" s="39">
      <c r="C39" s="8" t="n"/>
    </row>
    <row r="40" ht="15.75" customHeight="1" s="39">
      <c r="C40" s="8" t="n"/>
    </row>
    <row r="41" ht="15.75" customHeight="1" s="39">
      <c r="C41" s="8" t="n"/>
    </row>
    <row r="42" ht="15.75" customHeight="1" s="39">
      <c r="C42" s="8" t="n"/>
    </row>
    <row r="43" ht="15.75" customHeight="1" s="39">
      <c r="C43" s="8" t="n"/>
    </row>
    <row r="44" ht="15.75" customHeight="1" s="39">
      <c r="C44" s="8" t="n"/>
    </row>
    <row r="45" ht="15.75" customHeight="1" s="39">
      <c r="C45" s="8" t="n"/>
    </row>
    <row r="46" ht="15.75" customHeight="1" s="39">
      <c r="C46" s="8" t="n"/>
    </row>
    <row r="47" ht="15.75" customHeight="1" s="39">
      <c r="C47" s="8" t="n"/>
    </row>
    <row r="48" ht="15.75" customHeight="1" s="39">
      <c r="C48" s="8" t="n"/>
    </row>
    <row r="49" ht="15.75" customHeight="1" s="39">
      <c r="C49" s="8" t="n"/>
    </row>
    <row r="50" ht="15.75" customHeight="1" s="39">
      <c r="C50" s="8" t="n"/>
    </row>
    <row r="51" ht="15.75" customHeight="1" s="39">
      <c r="C51" s="8" t="n"/>
    </row>
    <row r="52" ht="15.75" customHeight="1" s="39">
      <c r="C52" s="8" t="n"/>
    </row>
    <row r="53" ht="15.75" customHeight="1" s="39">
      <c r="C53" s="8" t="n"/>
    </row>
    <row r="54" ht="15.75" customHeight="1" s="39">
      <c r="C54" s="8" t="n"/>
    </row>
    <row r="55" ht="15.75" customHeight="1" s="39">
      <c r="C55" s="8" t="n"/>
    </row>
    <row r="56" ht="15.75" customHeight="1" s="39">
      <c r="C56" s="8" t="n"/>
    </row>
    <row r="57" ht="15.75" customHeight="1" s="39">
      <c r="C57" s="8" t="n"/>
    </row>
    <row r="58" ht="15.75" customHeight="1" s="39">
      <c r="C58" s="8" t="n"/>
    </row>
    <row r="59" ht="15.75" customHeight="1" s="39">
      <c r="C59" s="8" t="n"/>
    </row>
    <row r="60" ht="15.75" customHeight="1" s="39">
      <c r="C60" s="8" t="n"/>
    </row>
    <row r="61" ht="15.75" customHeight="1" s="39">
      <c r="C61" s="8" t="n"/>
    </row>
    <row r="62" ht="15.75" customHeight="1" s="39">
      <c r="C62" s="8" t="n"/>
    </row>
    <row r="63" ht="15.75" customHeight="1" s="39">
      <c r="C63" s="8" t="n"/>
    </row>
    <row r="64" ht="15.75" customHeight="1" s="39">
      <c r="C64" s="8" t="n"/>
    </row>
    <row r="65" ht="15.75" customHeight="1" s="39">
      <c r="C65" s="8" t="n"/>
    </row>
    <row r="66" ht="15.75" customHeight="1" s="39">
      <c r="C66" s="8" t="n"/>
    </row>
    <row r="67" ht="15.75" customHeight="1" s="39">
      <c r="C67" s="8" t="n"/>
    </row>
    <row r="68" ht="15.75" customHeight="1" s="39">
      <c r="C68" s="8" t="n"/>
    </row>
    <row r="69" ht="15.75" customHeight="1" s="39">
      <c r="C69" s="8" t="n"/>
    </row>
    <row r="70" ht="15.75" customHeight="1" s="39">
      <c r="C70" s="8" t="n"/>
    </row>
    <row r="71" ht="15.75" customHeight="1" s="39">
      <c r="C71" s="8" t="n"/>
    </row>
    <row r="72" ht="15.75" customHeight="1" s="39">
      <c r="C72" s="8" t="n"/>
    </row>
    <row r="73" ht="15.75" customHeight="1" s="39">
      <c r="C73" s="8" t="n"/>
    </row>
    <row r="74" ht="15.75" customHeight="1" s="39">
      <c r="C74" s="8" t="n"/>
    </row>
    <row r="75" ht="15.75" customHeight="1" s="39">
      <c r="C75" s="8" t="n"/>
    </row>
    <row r="76" ht="15.75" customHeight="1" s="39">
      <c r="C76" s="8" t="n"/>
    </row>
    <row r="77" ht="15.75" customHeight="1" s="39">
      <c r="C77" s="8" t="n"/>
    </row>
    <row r="78" ht="15.75" customHeight="1" s="39">
      <c r="C78" s="8" t="n"/>
    </row>
    <row r="79" ht="15.75" customHeight="1" s="39">
      <c r="C79" s="8" t="n"/>
    </row>
    <row r="80" ht="15.75" customHeight="1" s="39">
      <c r="C80" s="8" t="n"/>
    </row>
    <row r="81" ht="15.75" customHeight="1" s="39">
      <c r="C81" s="8" t="n"/>
    </row>
    <row r="82" ht="15.75" customHeight="1" s="39">
      <c r="C82" s="8" t="n"/>
    </row>
    <row r="83" ht="15.75" customHeight="1" s="39">
      <c r="C83" s="8" t="n"/>
    </row>
    <row r="84" ht="15.75" customHeight="1" s="39">
      <c r="C84" s="8" t="n"/>
    </row>
    <row r="85" ht="15.75" customHeight="1" s="39">
      <c r="C85" s="8" t="n"/>
    </row>
    <row r="86" ht="15.75" customHeight="1" s="39">
      <c r="C86" s="8" t="n"/>
    </row>
    <row r="87" ht="15.75" customHeight="1" s="39">
      <c r="C87" s="8" t="n"/>
    </row>
    <row r="88" ht="15.75" customHeight="1" s="39">
      <c r="C88" s="8" t="n"/>
    </row>
    <row r="89" ht="15.75" customHeight="1" s="39">
      <c r="C89" s="8" t="n"/>
    </row>
    <row r="90" ht="15.75" customHeight="1" s="39">
      <c r="C90" s="8" t="n"/>
    </row>
    <row r="91" ht="15.75" customHeight="1" s="39">
      <c r="C91" s="8" t="n"/>
    </row>
    <row r="92" ht="15.75" customHeight="1" s="39">
      <c r="C92" s="8" t="n"/>
    </row>
    <row r="93" ht="15.75" customHeight="1" s="39">
      <c r="C93" s="8" t="n"/>
    </row>
    <row r="94" ht="15.75" customHeight="1" s="39">
      <c r="C94" s="8" t="n"/>
    </row>
    <row r="95" ht="15.75" customHeight="1" s="39">
      <c r="C95" s="8" t="n"/>
    </row>
    <row r="96" ht="15.75" customHeight="1" s="39">
      <c r="C96" s="8" t="n"/>
    </row>
    <row r="97" ht="15.75" customHeight="1" s="39">
      <c r="C97" s="8" t="n"/>
    </row>
    <row r="98" ht="15.75" customHeight="1" s="39">
      <c r="C98" s="8" t="n"/>
    </row>
    <row r="99" ht="15.75" customHeight="1" s="39">
      <c r="C99" s="8" t="n"/>
    </row>
    <row r="100" ht="15.75" customHeight="1" s="39">
      <c r="C100" s="8" t="n"/>
    </row>
    <row r="101" ht="15.75" customHeight="1" s="39">
      <c r="C101" s="8" t="n"/>
    </row>
    <row r="102" ht="15.75" customHeight="1" s="39">
      <c r="C102" s="8" t="n"/>
    </row>
    <row r="103" ht="15.75" customHeight="1" s="39">
      <c r="C103" s="8" t="n"/>
    </row>
    <row r="104" ht="15.75" customHeight="1" s="39">
      <c r="C104" s="8" t="n"/>
    </row>
    <row r="105" ht="15.75" customHeight="1" s="39">
      <c r="C105" s="8" t="n"/>
    </row>
    <row r="106" ht="15.75" customHeight="1" s="39">
      <c r="C106" s="8" t="n"/>
    </row>
    <row r="107" ht="15.75" customHeight="1" s="39">
      <c r="C107" s="8" t="n"/>
    </row>
    <row r="108" ht="15.75" customHeight="1" s="39">
      <c r="C108" s="8" t="n"/>
    </row>
    <row r="109" ht="15.75" customHeight="1" s="39">
      <c r="C109" s="8" t="n"/>
    </row>
    <row r="110" ht="15.75" customHeight="1" s="39">
      <c r="C110" s="8" t="n"/>
    </row>
    <row r="111" ht="15.75" customHeight="1" s="39">
      <c r="C111" s="8" t="n"/>
    </row>
    <row r="112" ht="15.75" customHeight="1" s="39">
      <c r="C112" s="8" t="n"/>
    </row>
    <row r="113" ht="15.75" customHeight="1" s="39">
      <c r="C113" s="8" t="n"/>
    </row>
    <row r="114" ht="15.75" customHeight="1" s="39">
      <c r="C114" s="8" t="n"/>
    </row>
    <row r="115" ht="15.75" customHeight="1" s="39">
      <c r="C115" s="8" t="n"/>
    </row>
    <row r="116" ht="15.75" customHeight="1" s="39">
      <c r="C116" s="8" t="n"/>
    </row>
    <row r="117" ht="15.75" customHeight="1" s="39">
      <c r="C117" s="8" t="n"/>
    </row>
    <row r="118" ht="15.75" customHeight="1" s="39">
      <c r="C118" s="8" t="n"/>
    </row>
    <row r="119" ht="15.75" customHeight="1" s="39">
      <c r="C119" s="8" t="n"/>
    </row>
    <row r="120" ht="15.75" customHeight="1" s="39">
      <c r="C120" s="8" t="n"/>
    </row>
    <row r="121" ht="15.75" customHeight="1" s="39">
      <c r="C121" s="8" t="n"/>
    </row>
    <row r="122" ht="15.75" customHeight="1" s="39">
      <c r="C122" s="8" t="n"/>
    </row>
    <row r="123" ht="15.75" customHeight="1" s="39">
      <c r="C123" s="8" t="n"/>
    </row>
    <row r="124" ht="15.75" customHeight="1" s="39">
      <c r="C124" s="8" t="n"/>
    </row>
    <row r="125" ht="15.75" customHeight="1" s="39">
      <c r="C125" s="8" t="n"/>
    </row>
    <row r="126" ht="15.75" customHeight="1" s="39">
      <c r="C126" s="8" t="n"/>
    </row>
    <row r="127" ht="15.75" customHeight="1" s="39">
      <c r="C127" s="8" t="n"/>
    </row>
    <row r="128" ht="15.75" customHeight="1" s="39">
      <c r="C128" s="8" t="n"/>
    </row>
    <row r="129" ht="15.75" customHeight="1" s="39">
      <c r="C129" s="8" t="n"/>
    </row>
    <row r="130" ht="15.75" customHeight="1" s="39">
      <c r="C130" s="8" t="n"/>
    </row>
    <row r="131" ht="15.75" customHeight="1" s="39">
      <c r="C131" s="8" t="n"/>
    </row>
    <row r="132" ht="15.75" customHeight="1" s="39">
      <c r="C132" s="8" t="n"/>
    </row>
    <row r="133" ht="15.75" customHeight="1" s="39">
      <c r="C133" s="8" t="n"/>
    </row>
    <row r="134" ht="15.75" customHeight="1" s="39">
      <c r="C134" s="8" t="n"/>
    </row>
    <row r="135" ht="15.75" customHeight="1" s="39">
      <c r="C135" s="8" t="n"/>
    </row>
    <row r="136" ht="15.75" customHeight="1" s="39">
      <c r="C136" s="8" t="n"/>
    </row>
    <row r="137" ht="15.75" customHeight="1" s="39">
      <c r="C137" s="8" t="n"/>
    </row>
    <row r="138" ht="15.75" customHeight="1" s="39">
      <c r="C138" s="8" t="n"/>
    </row>
    <row r="139" ht="15.75" customHeight="1" s="39">
      <c r="C139" s="8" t="n"/>
    </row>
    <row r="140" ht="15.75" customHeight="1" s="39">
      <c r="C140" s="8" t="n"/>
    </row>
    <row r="141" ht="15.75" customHeight="1" s="39">
      <c r="C141" s="8" t="n"/>
    </row>
    <row r="142" ht="15.75" customHeight="1" s="39">
      <c r="C142" s="8" t="n"/>
    </row>
    <row r="143" ht="15.75" customHeight="1" s="39">
      <c r="C143" s="8" t="n"/>
    </row>
    <row r="144" ht="15.75" customHeight="1" s="39">
      <c r="C144" s="8" t="n"/>
    </row>
    <row r="145" ht="15.75" customHeight="1" s="39">
      <c r="C145" s="8" t="n"/>
    </row>
    <row r="146" ht="15.75" customHeight="1" s="39">
      <c r="C146" s="8" t="n"/>
    </row>
    <row r="147" ht="15.75" customHeight="1" s="39">
      <c r="C147" s="8" t="n"/>
    </row>
    <row r="148" ht="15.75" customHeight="1" s="39">
      <c r="C148" s="8" t="n"/>
    </row>
    <row r="149" ht="15.75" customHeight="1" s="39">
      <c r="C149" s="8" t="n"/>
    </row>
    <row r="150" ht="15.75" customHeight="1" s="39">
      <c r="C150" s="8" t="n"/>
    </row>
    <row r="151" ht="15.75" customHeight="1" s="39">
      <c r="C151" s="8" t="n"/>
    </row>
    <row r="152" ht="15.75" customHeight="1" s="39">
      <c r="C152" s="8" t="n"/>
    </row>
    <row r="153" ht="15.75" customHeight="1" s="39">
      <c r="C153" s="8" t="n"/>
    </row>
    <row r="154" ht="15.75" customHeight="1" s="39">
      <c r="C154" s="8" t="n"/>
    </row>
    <row r="155" ht="15.75" customHeight="1" s="39">
      <c r="C155" s="8" t="n"/>
    </row>
    <row r="156" ht="15.75" customHeight="1" s="39">
      <c r="C156" s="8" t="n"/>
    </row>
    <row r="157" ht="15.75" customHeight="1" s="39">
      <c r="C157" s="8" t="n"/>
    </row>
    <row r="158" ht="15.75" customHeight="1" s="39">
      <c r="C158" s="8" t="n"/>
    </row>
    <row r="159" ht="15.75" customHeight="1" s="39">
      <c r="C159" s="8" t="n"/>
    </row>
    <row r="160" ht="15.75" customHeight="1" s="39">
      <c r="C160" s="8" t="n"/>
    </row>
    <row r="161" ht="15.75" customHeight="1" s="39">
      <c r="C161" s="8" t="n"/>
    </row>
    <row r="162" ht="15.75" customHeight="1" s="39">
      <c r="C162" s="8" t="n"/>
    </row>
    <row r="163" ht="15.75" customHeight="1" s="39">
      <c r="C163" s="8" t="n"/>
    </row>
    <row r="164" ht="15.75" customHeight="1" s="39">
      <c r="C164" s="8" t="n"/>
    </row>
    <row r="165" ht="15.75" customHeight="1" s="39">
      <c r="C165" s="8" t="n"/>
    </row>
    <row r="166" ht="15.75" customHeight="1" s="39">
      <c r="C166" s="8" t="n"/>
    </row>
    <row r="167" ht="15.75" customHeight="1" s="39">
      <c r="C167" s="8" t="n"/>
    </row>
    <row r="168" ht="15.75" customHeight="1" s="39">
      <c r="C168" s="8" t="n"/>
    </row>
    <row r="169" ht="15.75" customHeight="1" s="39">
      <c r="C169" s="8" t="n"/>
    </row>
    <row r="170" ht="15.75" customHeight="1" s="39">
      <c r="C170" s="8" t="n"/>
    </row>
    <row r="171" ht="15.75" customHeight="1" s="39">
      <c r="C171" s="8" t="n"/>
    </row>
    <row r="172" ht="15.75" customHeight="1" s="39">
      <c r="C172" s="8" t="n"/>
    </row>
    <row r="173" ht="15.75" customHeight="1" s="39">
      <c r="C173" s="8" t="n"/>
    </row>
    <row r="174" ht="15.75" customHeight="1" s="39">
      <c r="C174" s="8" t="n"/>
    </row>
    <row r="175" ht="15.75" customHeight="1" s="39">
      <c r="C175" s="8" t="n"/>
    </row>
    <row r="176" ht="15.75" customHeight="1" s="39">
      <c r="C176" s="8" t="n"/>
    </row>
    <row r="177" ht="15.75" customHeight="1" s="39">
      <c r="C177" s="8" t="n"/>
    </row>
    <row r="178" ht="15.75" customHeight="1" s="39">
      <c r="C178" s="8" t="n"/>
    </row>
    <row r="179" ht="15.75" customHeight="1" s="39">
      <c r="C179" s="8" t="n"/>
    </row>
    <row r="180" ht="15.75" customHeight="1" s="39">
      <c r="C180" s="8" t="n"/>
    </row>
    <row r="181" ht="15.75" customHeight="1" s="39">
      <c r="C181" s="8" t="n"/>
    </row>
    <row r="182" ht="15.75" customHeight="1" s="39">
      <c r="C182" s="8" t="n"/>
    </row>
    <row r="183" ht="15.75" customHeight="1" s="39">
      <c r="C183" s="8" t="n"/>
    </row>
    <row r="184" ht="15.75" customHeight="1" s="39">
      <c r="C184" s="8" t="n"/>
    </row>
    <row r="185" ht="15.75" customHeight="1" s="39">
      <c r="C185" s="8" t="n"/>
    </row>
    <row r="186" ht="15.75" customHeight="1" s="39">
      <c r="C186" s="8" t="n"/>
    </row>
    <row r="187" ht="15.75" customHeight="1" s="39">
      <c r="C187" s="8" t="n"/>
    </row>
    <row r="188" ht="15.75" customHeight="1" s="39">
      <c r="C188" s="8" t="n"/>
    </row>
    <row r="189" ht="15.75" customHeight="1" s="39">
      <c r="C189" s="8" t="n"/>
    </row>
    <row r="190" ht="15.75" customHeight="1" s="39">
      <c r="C190" s="8" t="n"/>
    </row>
    <row r="191" ht="15.75" customHeight="1" s="39">
      <c r="C191" s="8" t="n"/>
    </row>
    <row r="192" ht="15.75" customHeight="1" s="39">
      <c r="C192" s="8" t="n"/>
    </row>
    <row r="193" ht="15.75" customHeight="1" s="39">
      <c r="C193" s="8" t="n"/>
    </row>
    <row r="194" ht="15.75" customHeight="1" s="39">
      <c r="C194" s="8" t="n"/>
    </row>
    <row r="195" ht="15.75" customHeight="1" s="39">
      <c r="C195" s="8" t="n"/>
    </row>
    <row r="196" ht="15.75" customHeight="1" s="39">
      <c r="C196" s="8" t="n"/>
    </row>
    <row r="197" ht="15.75" customHeight="1" s="39">
      <c r="C197" s="8" t="n"/>
    </row>
    <row r="198" ht="15.75" customHeight="1" s="39">
      <c r="C198" s="8" t="n"/>
    </row>
    <row r="199" ht="15.75" customHeight="1" s="39">
      <c r="C199" s="8" t="n"/>
    </row>
    <row r="200" ht="15.75" customHeight="1" s="39">
      <c r="C200" s="8" t="n"/>
    </row>
    <row r="201" ht="15.75" customHeight="1" s="39">
      <c r="C201" s="8" t="n"/>
    </row>
    <row r="202" ht="15.75" customHeight="1" s="39">
      <c r="C202" s="8" t="n"/>
    </row>
    <row r="203" ht="15.75" customHeight="1" s="39">
      <c r="C203" s="8" t="n"/>
    </row>
    <row r="204" ht="15.75" customHeight="1" s="39">
      <c r="C204" s="8" t="n"/>
    </row>
    <row r="205" ht="15.75" customHeight="1" s="39">
      <c r="C205" s="8" t="n"/>
    </row>
    <row r="206" ht="15.75" customHeight="1" s="39">
      <c r="C206" s="8" t="n"/>
    </row>
    <row r="207" ht="15.75" customHeight="1" s="39">
      <c r="C207" s="8" t="n"/>
    </row>
    <row r="208" ht="15.75" customHeight="1" s="39">
      <c r="C208" s="8" t="n"/>
    </row>
    <row r="209" ht="15.75" customHeight="1" s="39">
      <c r="C209" s="8" t="n"/>
    </row>
    <row r="210" ht="15.75" customHeight="1" s="39">
      <c r="C210" s="8" t="n"/>
    </row>
    <row r="211" ht="15.75" customHeight="1" s="39">
      <c r="C211" s="8" t="n"/>
    </row>
    <row r="212" ht="15.75" customHeight="1" s="39">
      <c r="C212" s="8" t="n"/>
    </row>
    <row r="213" ht="15.75" customHeight="1" s="39">
      <c r="C213" s="8" t="n"/>
    </row>
    <row r="214" ht="15.75" customHeight="1" s="39">
      <c r="C214" s="8" t="n"/>
    </row>
    <row r="215" ht="15.75" customHeight="1" s="39">
      <c r="C215" s="8" t="n"/>
    </row>
    <row r="216" ht="15.75" customHeight="1" s="39">
      <c r="C216" s="8" t="n"/>
    </row>
    <row r="217" ht="15.75" customHeight="1" s="39">
      <c r="C217" s="8" t="n"/>
    </row>
    <row r="218" ht="15.75" customHeight="1" s="39">
      <c r="C218" s="8" t="n"/>
    </row>
    <row r="219" ht="15.75" customHeight="1" s="39">
      <c r="C219" s="8" t="n"/>
    </row>
    <row r="220" ht="15.75" customHeight="1" s="39">
      <c r="C220" s="8" t="n"/>
    </row>
    <row r="221" ht="15.75" customHeight="1" s="39">
      <c r="C221" s="8" t="n"/>
    </row>
    <row r="222" ht="15.75" customHeight="1" s="39">
      <c r="C222" s="8" t="n"/>
    </row>
    <row r="223" ht="15.75" customHeight="1" s="39">
      <c r="C223" s="8" t="n"/>
    </row>
    <row r="224" ht="15.75" customHeight="1" s="39">
      <c r="C224" s="8" t="n"/>
    </row>
    <row r="225" ht="15.75" customHeight="1" s="39">
      <c r="C225" s="8" t="n"/>
    </row>
    <row r="226" ht="15.75" customHeight="1" s="39">
      <c r="C226" s="8" t="n"/>
    </row>
    <row r="227" ht="15.75" customHeight="1" s="39">
      <c r="C227" s="8" t="n"/>
    </row>
    <row r="228" ht="15.75" customHeight="1" s="39">
      <c r="C228" s="8" t="n"/>
    </row>
    <row r="229" ht="15.75" customHeight="1" s="39">
      <c r="C229" s="8" t="n"/>
    </row>
    <row r="230" ht="15.75" customHeight="1" s="39">
      <c r="C230" s="8" t="n"/>
    </row>
    <row r="231" ht="15.75" customHeight="1" s="39">
      <c r="C231" s="8" t="n"/>
    </row>
    <row r="232" ht="15.75" customHeight="1" s="39">
      <c r="C232" s="8" t="n"/>
    </row>
    <row r="233" ht="15.75" customHeight="1" s="39">
      <c r="C233" s="8" t="n"/>
    </row>
    <row r="234" ht="15.75" customHeight="1" s="39">
      <c r="C234" s="8" t="n"/>
    </row>
    <row r="235" ht="15.75" customHeight="1" s="39">
      <c r="C235" s="8" t="n"/>
    </row>
    <row r="236" ht="15.75" customHeight="1" s="39">
      <c r="C236" s="8" t="n"/>
    </row>
    <row r="237" ht="15.75" customHeight="1" s="39">
      <c r="C237" s="8" t="n"/>
    </row>
    <row r="238" ht="15.75" customHeight="1" s="39">
      <c r="C238" s="8" t="n"/>
    </row>
    <row r="239" ht="15.75" customHeight="1" s="39">
      <c r="C239" s="8" t="n"/>
    </row>
    <row r="240" ht="15.75" customHeight="1" s="39">
      <c r="C240" s="8" t="n"/>
    </row>
    <row r="241" ht="15.75" customHeight="1" s="39">
      <c r="C241" s="8" t="n"/>
    </row>
    <row r="242" ht="15.75" customHeight="1" s="39">
      <c r="C242" s="8" t="n"/>
    </row>
    <row r="243" ht="15.75" customHeight="1" s="39">
      <c r="C243" s="8" t="n"/>
    </row>
    <row r="244" ht="15.75" customHeight="1" s="39">
      <c r="C244" s="8" t="n"/>
    </row>
    <row r="245" ht="15.75" customHeight="1" s="39">
      <c r="C245" s="8" t="n"/>
    </row>
    <row r="246" ht="15.75" customHeight="1" s="39">
      <c r="C246" s="8" t="n"/>
    </row>
    <row r="247" ht="15.75" customHeight="1" s="39">
      <c r="C247" s="8" t="n"/>
    </row>
    <row r="248" ht="15.75" customHeight="1" s="39">
      <c r="C248" s="8" t="n"/>
    </row>
    <row r="249" ht="15.75" customHeight="1" s="39">
      <c r="C249" s="8" t="n"/>
    </row>
    <row r="250" ht="15.75" customHeight="1" s="39">
      <c r="C250" s="8" t="n"/>
    </row>
    <row r="251" ht="15.75" customHeight="1" s="39">
      <c r="C251" s="8" t="n"/>
    </row>
    <row r="252" ht="15.75" customHeight="1" s="39">
      <c r="C252" s="8" t="n"/>
    </row>
    <row r="253" ht="15.75" customHeight="1" s="39">
      <c r="C253" s="8" t="n"/>
    </row>
    <row r="254" ht="15.75" customHeight="1" s="39">
      <c r="C254" s="8" t="n"/>
    </row>
    <row r="255" ht="15.75" customHeight="1" s="39">
      <c r="C255" s="8" t="n"/>
    </row>
    <row r="256" ht="15.75" customHeight="1" s="39">
      <c r="C256" s="8" t="n"/>
    </row>
    <row r="257" ht="15.75" customHeight="1" s="39">
      <c r="C257" s="8" t="n"/>
    </row>
    <row r="258" ht="15.75" customHeight="1" s="39">
      <c r="C258" s="8" t="n"/>
    </row>
    <row r="259" ht="15.75" customHeight="1" s="39">
      <c r="C259" s="8" t="n"/>
    </row>
    <row r="260" ht="15.75" customHeight="1" s="39">
      <c r="C260" s="8" t="n"/>
    </row>
    <row r="261" ht="15.75" customHeight="1" s="39">
      <c r="C261" s="8" t="n"/>
    </row>
    <row r="262" ht="15.75" customHeight="1" s="39">
      <c r="C262" s="8" t="n"/>
    </row>
    <row r="263" ht="15.75" customHeight="1" s="39">
      <c r="C263" s="8" t="n"/>
    </row>
    <row r="264" ht="15.75" customHeight="1" s="39">
      <c r="C264" s="8" t="n"/>
    </row>
    <row r="265" ht="15.75" customHeight="1" s="39">
      <c r="C265" s="8" t="n"/>
    </row>
    <row r="266" ht="15.75" customHeight="1" s="39">
      <c r="C266" s="8" t="n"/>
    </row>
    <row r="267" ht="15.75" customHeight="1" s="39">
      <c r="C267" s="8" t="n"/>
    </row>
    <row r="268" ht="15.75" customHeight="1" s="39">
      <c r="C268" s="8" t="n"/>
    </row>
    <row r="269" ht="15.75" customHeight="1" s="39">
      <c r="C269" s="8" t="n"/>
    </row>
    <row r="270" ht="15.75" customHeight="1" s="39">
      <c r="C270" s="8" t="n"/>
    </row>
    <row r="271" ht="15.75" customHeight="1" s="39">
      <c r="C271" s="8" t="n"/>
    </row>
    <row r="272" ht="15.75" customHeight="1" s="39">
      <c r="C272" s="8" t="n"/>
    </row>
    <row r="273" ht="15.75" customHeight="1" s="39">
      <c r="C273" s="8" t="n"/>
    </row>
    <row r="274" ht="15.75" customHeight="1" s="39">
      <c r="C274" s="8" t="n"/>
    </row>
    <row r="275" ht="15.75" customHeight="1" s="39">
      <c r="C275" s="8" t="n"/>
    </row>
    <row r="276" ht="15.75" customHeight="1" s="39">
      <c r="C276" s="8" t="n"/>
    </row>
    <row r="277" ht="15.75" customHeight="1" s="39">
      <c r="C277" s="8" t="n"/>
    </row>
    <row r="278" ht="15.75" customHeight="1" s="39">
      <c r="C278" s="8" t="n"/>
    </row>
    <row r="279" ht="15.75" customHeight="1" s="39">
      <c r="C279" s="8" t="n"/>
    </row>
    <row r="280" ht="15.75" customHeight="1" s="39">
      <c r="C280" s="8" t="n"/>
    </row>
    <row r="281" ht="15.75" customHeight="1" s="39">
      <c r="C281" s="8" t="n"/>
    </row>
    <row r="282" ht="15.75" customHeight="1" s="39">
      <c r="C282" s="8" t="n"/>
    </row>
    <row r="283" ht="15.75" customHeight="1" s="39">
      <c r="C283" s="8" t="n"/>
    </row>
    <row r="284" ht="15.75" customHeight="1" s="39">
      <c r="C284" s="8" t="n"/>
    </row>
    <row r="285" ht="15.75" customHeight="1" s="39">
      <c r="C285" s="8" t="n"/>
    </row>
    <row r="286" ht="15.75" customHeight="1" s="39">
      <c r="C286" s="8" t="n"/>
    </row>
    <row r="287" ht="15.75" customHeight="1" s="39">
      <c r="C287" s="8" t="n"/>
    </row>
    <row r="288" ht="15.75" customHeight="1" s="39">
      <c r="C288" s="8" t="n"/>
    </row>
    <row r="289" ht="15.75" customHeight="1" s="39">
      <c r="C289" s="8" t="n"/>
    </row>
    <row r="290" ht="15.75" customHeight="1" s="39">
      <c r="C290" s="8" t="n"/>
    </row>
    <row r="291" ht="15.75" customHeight="1" s="39">
      <c r="C291" s="8" t="n"/>
    </row>
    <row r="292" ht="15.75" customHeight="1" s="39">
      <c r="C292" s="8" t="n"/>
    </row>
    <row r="293" ht="15.75" customHeight="1" s="39">
      <c r="C293" s="8" t="n"/>
    </row>
    <row r="294" ht="15.75" customHeight="1" s="39">
      <c r="C294" s="8" t="n"/>
    </row>
    <row r="295" ht="15.75" customHeight="1" s="39">
      <c r="C295" s="8" t="n"/>
    </row>
    <row r="296" ht="15.75" customHeight="1" s="39">
      <c r="C296" s="8" t="n"/>
    </row>
    <row r="297" ht="15.75" customHeight="1" s="39">
      <c r="C297" s="8" t="n"/>
    </row>
    <row r="298" ht="15.75" customHeight="1" s="39">
      <c r="C298" s="8" t="n"/>
    </row>
    <row r="299" ht="15.75" customHeight="1" s="39">
      <c r="C299" s="8" t="n"/>
    </row>
    <row r="300" ht="15.75" customHeight="1" s="39">
      <c r="C300" s="8" t="n"/>
    </row>
    <row r="301" ht="15.75" customHeight="1" s="39">
      <c r="C301" s="8" t="n"/>
    </row>
    <row r="302" ht="15.75" customHeight="1" s="39">
      <c r="C302" s="8" t="n"/>
    </row>
    <row r="303" ht="15.75" customHeight="1" s="39">
      <c r="C303" s="8" t="n"/>
    </row>
    <row r="304" ht="15.75" customHeight="1" s="39">
      <c r="C304" s="8" t="n"/>
    </row>
    <row r="305" ht="15.75" customHeight="1" s="39">
      <c r="C305" s="8" t="n"/>
    </row>
    <row r="306" ht="15.75" customHeight="1" s="39">
      <c r="C306" s="8" t="n"/>
    </row>
    <row r="307" ht="15.75" customHeight="1" s="39">
      <c r="C307" s="8" t="n"/>
    </row>
    <row r="308" ht="15.75" customHeight="1" s="39">
      <c r="C308" s="8" t="n"/>
    </row>
    <row r="309" ht="15.75" customHeight="1" s="39">
      <c r="C309" s="8" t="n"/>
    </row>
    <row r="310" ht="15.75" customHeight="1" s="39">
      <c r="C310" s="8" t="n"/>
    </row>
    <row r="311" ht="15.75" customHeight="1" s="39">
      <c r="C311" s="8" t="n"/>
    </row>
    <row r="312" ht="15.75" customHeight="1" s="39">
      <c r="C312" s="8" t="n"/>
    </row>
    <row r="313" ht="15.75" customHeight="1" s="39">
      <c r="C313" s="8" t="n"/>
    </row>
    <row r="314" ht="15.75" customHeight="1" s="39">
      <c r="C314" s="8" t="n"/>
    </row>
    <row r="315" ht="15.75" customHeight="1" s="39">
      <c r="C315" s="8" t="n"/>
    </row>
    <row r="316" ht="15.75" customHeight="1" s="39">
      <c r="C316" s="8" t="n"/>
    </row>
    <row r="317" ht="15.75" customHeight="1" s="39">
      <c r="C317" s="8" t="n"/>
    </row>
    <row r="318" ht="15.75" customHeight="1" s="39">
      <c r="C318" s="8" t="n"/>
    </row>
    <row r="319" ht="15.75" customHeight="1" s="39">
      <c r="C319" s="8" t="n"/>
    </row>
    <row r="320" ht="15.75" customHeight="1" s="39">
      <c r="C320" s="8" t="n"/>
    </row>
    <row r="321" ht="15.75" customHeight="1" s="39">
      <c r="C321" s="8" t="n"/>
    </row>
    <row r="322" ht="15.75" customHeight="1" s="39">
      <c r="C322" s="8" t="n"/>
    </row>
    <row r="323" ht="15.75" customHeight="1" s="39">
      <c r="C323" s="8" t="n"/>
    </row>
    <row r="324" ht="15.75" customHeight="1" s="39">
      <c r="C324" s="8" t="n"/>
    </row>
    <row r="325" ht="15.75" customHeight="1" s="39">
      <c r="C325" s="8" t="n"/>
    </row>
    <row r="326" ht="15.75" customHeight="1" s="39">
      <c r="C326" s="8" t="n"/>
    </row>
    <row r="327" ht="15.75" customHeight="1" s="39">
      <c r="C327" s="8" t="n"/>
    </row>
    <row r="328" ht="15.75" customHeight="1" s="39">
      <c r="C328" s="8" t="n"/>
    </row>
    <row r="329" ht="15.75" customHeight="1" s="39">
      <c r="C329" s="8" t="n"/>
    </row>
    <row r="330" ht="15.75" customHeight="1" s="39">
      <c r="C330" s="8" t="n"/>
    </row>
    <row r="331" ht="15.75" customHeight="1" s="39">
      <c r="C331" s="8" t="n"/>
    </row>
    <row r="332" ht="15.75" customHeight="1" s="39">
      <c r="C332" s="8" t="n"/>
    </row>
    <row r="333" ht="15.75" customHeight="1" s="39">
      <c r="C333" s="8" t="n"/>
    </row>
    <row r="334" ht="15.75" customHeight="1" s="39">
      <c r="C334" s="8" t="n"/>
    </row>
    <row r="335" ht="15.75" customHeight="1" s="39">
      <c r="C335" s="8" t="n"/>
    </row>
    <row r="336" ht="15.75" customHeight="1" s="39">
      <c r="C336" s="8" t="n"/>
    </row>
    <row r="337" ht="15.75" customHeight="1" s="39">
      <c r="C337" s="8" t="n"/>
    </row>
    <row r="338" ht="15.75" customHeight="1" s="39">
      <c r="C338" s="8" t="n"/>
    </row>
    <row r="339" ht="15.75" customHeight="1" s="39">
      <c r="C339" s="8" t="n"/>
    </row>
    <row r="340" ht="15.75" customHeight="1" s="39">
      <c r="C340" s="8" t="n"/>
    </row>
    <row r="341" ht="15.75" customHeight="1" s="39">
      <c r="C341" s="8" t="n"/>
    </row>
    <row r="342" ht="15.75" customHeight="1" s="39">
      <c r="C342" s="8" t="n"/>
    </row>
    <row r="343" ht="15.75" customHeight="1" s="39">
      <c r="C343" s="8" t="n"/>
    </row>
    <row r="344" ht="15.75" customHeight="1" s="39">
      <c r="C344" s="8" t="n"/>
    </row>
    <row r="345" ht="15.75" customHeight="1" s="39">
      <c r="C345" s="8" t="n"/>
    </row>
    <row r="346" ht="15.75" customHeight="1" s="39">
      <c r="C346" s="8" t="n"/>
    </row>
    <row r="347" ht="15.75" customHeight="1" s="39">
      <c r="C347" s="8" t="n"/>
    </row>
    <row r="348" ht="15.75" customHeight="1" s="39">
      <c r="C348" s="8" t="n"/>
    </row>
    <row r="349" ht="15.75" customHeight="1" s="39">
      <c r="C349" s="8" t="n"/>
    </row>
    <row r="350" ht="15.75" customHeight="1" s="39">
      <c r="C350" s="8" t="n"/>
    </row>
    <row r="351" ht="15.75" customHeight="1" s="39">
      <c r="C351" s="8" t="n"/>
    </row>
    <row r="352" ht="15.75" customHeight="1" s="39">
      <c r="C352" s="8" t="n"/>
    </row>
    <row r="353" ht="15.75" customHeight="1" s="39">
      <c r="C353" s="8" t="n"/>
    </row>
    <row r="354" ht="15.75" customHeight="1" s="39">
      <c r="C354" s="8" t="n"/>
    </row>
    <row r="355" ht="15.75" customHeight="1" s="39">
      <c r="C355" s="8" t="n"/>
    </row>
    <row r="356" ht="15.75" customHeight="1" s="39">
      <c r="C356" s="8" t="n"/>
    </row>
    <row r="357" ht="15.75" customHeight="1" s="39">
      <c r="C357" s="8" t="n"/>
    </row>
    <row r="358" ht="15.75" customHeight="1" s="39">
      <c r="C358" s="8" t="n"/>
    </row>
    <row r="359" ht="15.75" customHeight="1" s="39">
      <c r="C359" s="8" t="n"/>
    </row>
    <row r="360" ht="15.75" customHeight="1" s="39">
      <c r="C360" s="8" t="n"/>
    </row>
    <row r="361" ht="15.75" customHeight="1" s="39">
      <c r="C361" s="8" t="n"/>
    </row>
    <row r="362" ht="15.75" customHeight="1" s="39">
      <c r="C362" s="8" t="n"/>
    </row>
    <row r="363" ht="15.75" customHeight="1" s="39">
      <c r="C363" s="8" t="n"/>
    </row>
    <row r="364" ht="15.75" customHeight="1" s="39">
      <c r="C364" s="8" t="n"/>
    </row>
    <row r="365" ht="15.75" customHeight="1" s="39">
      <c r="C365" s="8" t="n"/>
    </row>
    <row r="366" ht="15.75" customHeight="1" s="39">
      <c r="C366" s="8" t="n"/>
    </row>
    <row r="367" ht="15.75" customHeight="1" s="39">
      <c r="C367" s="8" t="n"/>
    </row>
    <row r="368" ht="15.75" customHeight="1" s="39">
      <c r="C368" s="8" t="n"/>
    </row>
    <row r="369" ht="15.75" customHeight="1" s="39">
      <c r="C369" s="8" t="n"/>
    </row>
    <row r="370" ht="15.75" customHeight="1" s="39">
      <c r="C370" s="8" t="n"/>
    </row>
    <row r="371" ht="15.75" customHeight="1" s="39">
      <c r="C371" s="8" t="n"/>
    </row>
    <row r="372" ht="15.75" customHeight="1" s="39">
      <c r="C372" s="8" t="n"/>
    </row>
    <row r="373" ht="15.75" customHeight="1" s="39">
      <c r="C373" s="8" t="n"/>
    </row>
    <row r="374" ht="15.75" customHeight="1" s="39">
      <c r="C374" s="8" t="n"/>
    </row>
    <row r="375" ht="15.75" customHeight="1" s="39">
      <c r="C375" s="8" t="n"/>
    </row>
    <row r="376" ht="15.75" customHeight="1" s="39">
      <c r="C376" s="8" t="n"/>
    </row>
    <row r="377" ht="15.75" customHeight="1" s="39">
      <c r="C377" s="8" t="n"/>
    </row>
    <row r="378" ht="15.75" customHeight="1" s="39">
      <c r="C378" s="8" t="n"/>
    </row>
    <row r="379" ht="15.75" customHeight="1" s="39">
      <c r="C379" s="8" t="n"/>
    </row>
    <row r="380" ht="15.75" customHeight="1" s="39">
      <c r="C380" s="8" t="n"/>
    </row>
    <row r="381" ht="15.75" customHeight="1" s="39">
      <c r="C381" s="8" t="n"/>
    </row>
    <row r="382" ht="15.75" customHeight="1" s="39">
      <c r="C382" s="8" t="n"/>
    </row>
    <row r="383" ht="15.75" customHeight="1" s="39">
      <c r="C383" s="8" t="n"/>
    </row>
    <row r="384" ht="15.75" customHeight="1" s="39">
      <c r="C384" s="8" t="n"/>
    </row>
    <row r="385" ht="15.75" customHeight="1" s="39">
      <c r="C385" s="8" t="n"/>
    </row>
    <row r="386" ht="15.75" customHeight="1" s="39">
      <c r="C386" s="8" t="n"/>
    </row>
    <row r="387" ht="15.75" customHeight="1" s="39">
      <c r="C387" s="8" t="n"/>
    </row>
    <row r="388" ht="15.75" customHeight="1" s="39">
      <c r="C388" s="8" t="n"/>
    </row>
    <row r="389" ht="15.75" customHeight="1" s="39">
      <c r="C389" s="8" t="n"/>
    </row>
    <row r="390" ht="15.75" customHeight="1" s="39">
      <c r="C390" s="8" t="n"/>
    </row>
    <row r="391" ht="15.75" customHeight="1" s="39">
      <c r="C391" s="8" t="n"/>
    </row>
    <row r="392" ht="15.75" customHeight="1" s="39">
      <c r="C392" s="8" t="n"/>
    </row>
    <row r="393" ht="15.75" customHeight="1" s="39">
      <c r="C393" s="8" t="n"/>
    </row>
    <row r="394" ht="15.75" customHeight="1" s="39">
      <c r="C394" s="8" t="n"/>
    </row>
    <row r="395" ht="15.75" customHeight="1" s="39">
      <c r="C395" s="8" t="n"/>
    </row>
    <row r="396" ht="15.75" customHeight="1" s="39">
      <c r="C396" s="8" t="n"/>
    </row>
    <row r="397" ht="15.75" customHeight="1" s="39">
      <c r="C397" s="8" t="n"/>
    </row>
    <row r="398" ht="15.75" customHeight="1" s="39">
      <c r="C398" s="8" t="n"/>
    </row>
    <row r="399" ht="15.75" customHeight="1" s="39">
      <c r="C399" s="8" t="n"/>
    </row>
    <row r="400" ht="15.75" customHeight="1" s="39">
      <c r="C400" s="8" t="n"/>
    </row>
    <row r="401" ht="15.75" customHeight="1" s="39">
      <c r="C401" s="8" t="n"/>
    </row>
    <row r="402" ht="15.75" customHeight="1" s="39">
      <c r="C402" s="8" t="n"/>
    </row>
    <row r="403" ht="15.75" customHeight="1" s="39">
      <c r="C403" s="8" t="n"/>
    </row>
    <row r="404" ht="15.75" customHeight="1" s="39">
      <c r="C404" s="8" t="n"/>
    </row>
    <row r="405" ht="15.75" customHeight="1" s="39">
      <c r="C405" s="8" t="n"/>
    </row>
    <row r="406" ht="15.75" customHeight="1" s="39">
      <c r="C406" s="8" t="n"/>
    </row>
    <row r="407" ht="15.75" customHeight="1" s="39">
      <c r="C407" s="8" t="n"/>
    </row>
    <row r="408" ht="15.75" customHeight="1" s="39">
      <c r="C408" s="8" t="n"/>
    </row>
    <row r="409" ht="15.75" customHeight="1" s="39">
      <c r="C409" s="8" t="n"/>
    </row>
    <row r="410" ht="15.75" customHeight="1" s="39">
      <c r="C410" s="8" t="n"/>
    </row>
    <row r="411" ht="15.75" customHeight="1" s="39">
      <c r="C411" s="8" t="n"/>
    </row>
    <row r="412" ht="15.75" customHeight="1" s="39">
      <c r="C412" s="8" t="n"/>
    </row>
    <row r="413" ht="15.75" customHeight="1" s="39">
      <c r="C413" s="8" t="n"/>
    </row>
    <row r="414" ht="15.75" customHeight="1" s="39">
      <c r="C414" s="8" t="n"/>
    </row>
    <row r="415" ht="15.75" customHeight="1" s="39">
      <c r="C415" s="8" t="n"/>
    </row>
    <row r="416" ht="15.75" customHeight="1" s="39">
      <c r="C416" s="8" t="n"/>
    </row>
    <row r="417" ht="15.75" customHeight="1" s="39">
      <c r="C417" s="8" t="n"/>
    </row>
    <row r="418" ht="15.75" customHeight="1" s="39">
      <c r="C418" s="8" t="n"/>
    </row>
    <row r="419" ht="15.75" customHeight="1" s="39">
      <c r="C419" s="8" t="n"/>
    </row>
    <row r="420" ht="15.75" customHeight="1" s="39">
      <c r="C420" s="8" t="n"/>
    </row>
    <row r="421" ht="15.75" customHeight="1" s="39">
      <c r="C421" s="8" t="n"/>
    </row>
    <row r="422" ht="15.75" customHeight="1" s="39">
      <c r="C422" s="8" t="n"/>
    </row>
    <row r="423" ht="15.75" customHeight="1" s="39">
      <c r="C423" s="8" t="n"/>
    </row>
    <row r="424" ht="15.75" customHeight="1" s="39">
      <c r="C424" s="8" t="n"/>
    </row>
    <row r="425" ht="15.75" customHeight="1" s="39">
      <c r="C425" s="8" t="n"/>
    </row>
    <row r="426" ht="15.75" customHeight="1" s="39">
      <c r="C426" s="8" t="n"/>
    </row>
    <row r="427" ht="15.75" customHeight="1" s="39">
      <c r="C427" s="8" t="n"/>
    </row>
    <row r="428" ht="15.75" customHeight="1" s="39">
      <c r="C428" s="8" t="n"/>
    </row>
    <row r="429" ht="15.75" customHeight="1" s="39">
      <c r="C429" s="8" t="n"/>
    </row>
    <row r="430" ht="15.75" customHeight="1" s="39">
      <c r="C430" s="8" t="n"/>
    </row>
    <row r="431" ht="15.75" customHeight="1" s="39">
      <c r="C431" s="8" t="n"/>
    </row>
    <row r="432" ht="15.75" customHeight="1" s="39">
      <c r="C432" s="8" t="n"/>
    </row>
    <row r="433" ht="15.75" customHeight="1" s="39">
      <c r="C433" s="8" t="n"/>
    </row>
    <row r="434" ht="15.75" customHeight="1" s="39">
      <c r="C434" s="8" t="n"/>
    </row>
    <row r="435" ht="15.75" customHeight="1" s="39">
      <c r="C435" s="8" t="n"/>
    </row>
    <row r="436" ht="15.75" customHeight="1" s="39">
      <c r="C436" s="8" t="n"/>
    </row>
    <row r="437" ht="15.75" customHeight="1" s="39">
      <c r="C437" s="8" t="n"/>
    </row>
    <row r="438" ht="15.75" customHeight="1" s="39">
      <c r="C438" s="8" t="n"/>
    </row>
    <row r="439" ht="15.75" customHeight="1" s="39">
      <c r="C439" s="8" t="n"/>
    </row>
    <row r="440" ht="15.75" customHeight="1" s="39">
      <c r="C440" s="8" t="n"/>
    </row>
    <row r="441" ht="15.75" customHeight="1" s="39">
      <c r="C441" s="8" t="n"/>
    </row>
    <row r="442" ht="15.75" customHeight="1" s="39">
      <c r="C442" s="8" t="n"/>
    </row>
    <row r="443" ht="15.75" customHeight="1" s="39">
      <c r="C443" s="8" t="n"/>
    </row>
    <row r="444" ht="15.75" customHeight="1" s="39">
      <c r="C444" s="8" t="n"/>
    </row>
    <row r="445" ht="15.75" customHeight="1" s="39">
      <c r="C445" s="8" t="n"/>
    </row>
    <row r="446" ht="15.75" customHeight="1" s="39">
      <c r="C446" s="8" t="n"/>
    </row>
    <row r="447" ht="15.75" customHeight="1" s="39">
      <c r="C447" s="8" t="n"/>
    </row>
    <row r="448" ht="15.75" customHeight="1" s="39">
      <c r="C448" s="8" t="n"/>
    </row>
    <row r="449" ht="15.75" customHeight="1" s="39">
      <c r="C449" s="8" t="n"/>
    </row>
    <row r="450" ht="15.75" customHeight="1" s="39">
      <c r="C450" s="8" t="n"/>
    </row>
    <row r="451" ht="15.75" customHeight="1" s="39">
      <c r="C451" s="8" t="n"/>
    </row>
    <row r="452" ht="15.75" customHeight="1" s="39">
      <c r="C452" s="8" t="n"/>
    </row>
    <row r="453" ht="15.75" customHeight="1" s="39">
      <c r="C453" s="8" t="n"/>
    </row>
    <row r="454" ht="15.75" customHeight="1" s="39">
      <c r="C454" s="8" t="n"/>
    </row>
    <row r="455" ht="15.75" customHeight="1" s="39">
      <c r="C455" s="8" t="n"/>
    </row>
    <row r="456" ht="15.75" customHeight="1" s="39">
      <c r="C456" s="8" t="n"/>
    </row>
    <row r="457" ht="15.75" customHeight="1" s="39">
      <c r="C457" s="8" t="n"/>
    </row>
    <row r="458" ht="15.75" customHeight="1" s="39">
      <c r="C458" s="8" t="n"/>
    </row>
    <row r="459" ht="15.75" customHeight="1" s="39">
      <c r="C459" s="8" t="n"/>
    </row>
    <row r="460" ht="15.75" customHeight="1" s="39">
      <c r="C460" s="8" t="n"/>
    </row>
    <row r="461" ht="15.75" customHeight="1" s="39">
      <c r="C461" s="8" t="n"/>
    </row>
    <row r="462" ht="15.75" customHeight="1" s="39">
      <c r="C462" s="8" t="n"/>
    </row>
    <row r="463" ht="15.75" customHeight="1" s="39">
      <c r="C463" s="8" t="n"/>
    </row>
    <row r="464" ht="15.75" customHeight="1" s="39">
      <c r="C464" s="8" t="n"/>
    </row>
    <row r="465" ht="15.75" customHeight="1" s="39">
      <c r="C465" s="8" t="n"/>
    </row>
    <row r="466" ht="15.75" customHeight="1" s="39">
      <c r="C466" s="8" t="n"/>
    </row>
    <row r="467" ht="15.75" customHeight="1" s="39">
      <c r="C467" s="8" t="n"/>
    </row>
    <row r="468" ht="15.75" customHeight="1" s="39">
      <c r="C468" s="8" t="n"/>
    </row>
    <row r="469" ht="15.75" customHeight="1" s="39">
      <c r="C469" s="8" t="n"/>
    </row>
    <row r="470" ht="15.75" customHeight="1" s="39">
      <c r="C470" s="8" t="n"/>
    </row>
    <row r="471" ht="15.75" customHeight="1" s="39">
      <c r="C471" s="8" t="n"/>
    </row>
    <row r="472" ht="15.75" customHeight="1" s="39">
      <c r="C472" s="8" t="n"/>
    </row>
    <row r="473" ht="15.75" customHeight="1" s="39">
      <c r="C473" s="8" t="n"/>
    </row>
    <row r="474" ht="15.75" customHeight="1" s="39">
      <c r="C474" s="8" t="n"/>
    </row>
    <row r="475" ht="15.75" customHeight="1" s="39">
      <c r="C475" s="8" t="n"/>
    </row>
    <row r="476" ht="15.75" customHeight="1" s="39">
      <c r="C476" s="8" t="n"/>
    </row>
    <row r="477" ht="15.75" customHeight="1" s="39">
      <c r="C477" s="8" t="n"/>
    </row>
    <row r="478" ht="15.75" customHeight="1" s="39">
      <c r="C478" s="8" t="n"/>
    </row>
    <row r="479" ht="15.75" customHeight="1" s="39">
      <c r="C479" s="8" t="n"/>
    </row>
    <row r="480" ht="15.75" customHeight="1" s="39">
      <c r="C480" s="8" t="n"/>
    </row>
    <row r="481" ht="15.75" customHeight="1" s="39">
      <c r="C481" s="8" t="n"/>
    </row>
    <row r="482" ht="15.75" customHeight="1" s="39">
      <c r="C482" s="8" t="n"/>
    </row>
    <row r="483" ht="15.75" customHeight="1" s="39">
      <c r="C483" s="8" t="n"/>
    </row>
    <row r="484" ht="15.75" customHeight="1" s="39">
      <c r="C484" s="8" t="n"/>
    </row>
    <row r="485" ht="15.75" customHeight="1" s="39">
      <c r="C485" s="8" t="n"/>
    </row>
    <row r="486" ht="15.75" customHeight="1" s="39">
      <c r="C486" s="8" t="n"/>
    </row>
    <row r="487" ht="15.75" customHeight="1" s="39">
      <c r="C487" s="8" t="n"/>
    </row>
    <row r="488" ht="15.75" customHeight="1" s="39">
      <c r="C488" s="8" t="n"/>
    </row>
    <row r="489" ht="15.75" customHeight="1" s="39">
      <c r="C489" s="8" t="n"/>
    </row>
    <row r="490" ht="15.75" customHeight="1" s="39">
      <c r="C490" s="8" t="n"/>
    </row>
    <row r="491" ht="15.75" customHeight="1" s="39">
      <c r="C491" s="8" t="n"/>
    </row>
    <row r="492" ht="15.75" customHeight="1" s="39">
      <c r="C492" s="8" t="n"/>
    </row>
    <row r="493" ht="15.75" customHeight="1" s="39">
      <c r="C493" s="8" t="n"/>
    </row>
    <row r="494" ht="15.75" customHeight="1" s="39">
      <c r="C494" s="8" t="n"/>
    </row>
    <row r="495" ht="15.75" customHeight="1" s="39">
      <c r="C495" s="8" t="n"/>
    </row>
    <row r="496" ht="15.75" customHeight="1" s="39">
      <c r="C496" s="8" t="n"/>
    </row>
    <row r="497" ht="15.75" customHeight="1" s="39">
      <c r="C497" s="8" t="n"/>
    </row>
    <row r="498" ht="15.75" customHeight="1" s="39">
      <c r="C498" s="8" t="n"/>
    </row>
    <row r="499" ht="15.75" customHeight="1" s="39">
      <c r="C499" s="8" t="n"/>
    </row>
    <row r="500" ht="15.75" customHeight="1" s="39">
      <c r="C500" s="8" t="n"/>
    </row>
    <row r="501" ht="15.75" customHeight="1" s="39">
      <c r="C501" s="8" t="n"/>
    </row>
    <row r="502" ht="15.75" customHeight="1" s="39">
      <c r="C502" s="8" t="n"/>
    </row>
    <row r="503" ht="15.75" customHeight="1" s="39">
      <c r="C503" s="8" t="n"/>
    </row>
    <row r="504" ht="15.75" customHeight="1" s="39">
      <c r="C504" s="8" t="n"/>
    </row>
    <row r="505" ht="15.75" customHeight="1" s="39">
      <c r="C505" s="8" t="n"/>
    </row>
    <row r="506" ht="15.75" customHeight="1" s="39">
      <c r="C506" s="8" t="n"/>
    </row>
    <row r="507" ht="15.75" customHeight="1" s="39">
      <c r="C507" s="8" t="n"/>
    </row>
    <row r="508" ht="15.75" customHeight="1" s="39">
      <c r="C508" s="8" t="n"/>
    </row>
    <row r="509" ht="15.75" customHeight="1" s="39">
      <c r="C509" s="8" t="n"/>
    </row>
    <row r="510" ht="15.75" customHeight="1" s="39">
      <c r="C510" s="8" t="n"/>
    </row>
    <row r="511" ht="15.75" customHeight="1" s="39">
      <c r="C511" s="8" t="n"/>
    </row>
    <row r="512" ht="15.75" customHeight="1" s="39">
      <c r="C512" s="8" t="n"/>
    </row>
    <row r="513" ht="15.75" customHeight="1" s="39">
      <c r="C513" s="8" t="n"/>
    </row>
    <row r="514" ht="15.75" customHeight="1" s="39">
      <c r="C514" s="8" t="n"/>
    </row>
    <row r="515" ht="15.75" customHeight="1" s="39">
      <c r="C515" s="8" t="n"/>
    </row>
    <row r="516" ht="15.75" customHeight="1" s="39">
      <c r="C516" s="8" t="n"/>
    </row>
    <row r="517" ht="15.75" customHeight="1" s="39">
      <c r="C517" s="8" t="n"/>
    </row>
    <row r="518" ht="15.75" customHeight="1" s="39">
      <c r="C518" s="8" t="n"/>
    </row>
    <row r="519" ht="15.75" customHeight="1" s="39">
      <c r="C519" s="8" t="n"/>
    </row>
    <row r="520" ht="15.75" customHeight="1" s="39">
      <c r="C520" s="8" t="n"/>
    </row>
    <row r="521" ht="15.75" customHeight="1" s="39">
      <c r="C521" s="8" t="n"/>
    </row>
    <row r="522" ht="15.75" customHeight="1" s="39">
      <c r="C522" s="8" t="n"/>
    </row>
    <row r="523" ht="15.75" customHeight="1" s="39">
      <c r="C523" s="8" t="n"/>
    </row>
    <row r="524" ht="15.75" customHeight="1" s="39">
      <c r="C524" s="8" t="n"/>
    </row>
    <row r="525" ht="15.75" customHeight="1" s="39">
      <c r="C525" s="8" t="n"/>
    </row>
    <row r="526" ht="15.75" customHeight="1" s="39">
      <c r="C526" s="8" t="n"/>
    </row>
    <row r="527" ht="15.75" customHeight="1" s="39">
      <c r="C527" s="8" t="n"/>
    </row>
    <row r="528" ht="15.75" customHeight="1" s="39">
      <c r="C528" s="8" t="n"/>
    </row>
    <row r="529" ht="15.75" customHeight="1" s="39">
      <c r="C529" s="8" t="n"/>
    </row>
    <row r="530" ht="15.75" customHeight="1" s="39">
      <c r="C530" s="8" t="n"/>
    </row>
    <row r="531" ht="15.75" customHeight="1" s="39">
      <c r="C531" s="8" t="n"/>
    </row>
    <row r="532" ht="15.75" customHeight="1" s="39">
      <c r="C532" s="8" t="n"/>
    </row>
    <row r="533" ht="15.75" customHeight="1" s="39">
      <c r="C533" s="8" t="n"/>
    </row>
    <row r="534" ht="15.75" customHeight="1" s="39">
      <c r="C534" s="8" t="n"/>
    </row>
    <row r="535" ht="15.75" customHeight="1" s="39">
      <c r="C535" s="8" t="n"/>
    </row>
    <row r="536" ht="15.75" customHeight="1" s="39">
      <c r="C536" s="8" t="n"/>
    </row>
    <row r="537" ht="15.75" customHeight="1" s="39">
      <c r="C537" s="8" t="n"/>
    </row>
    <row r="538" ht="15.75" customHeight="1" s="39">
      <c r="C538" s="8" t="n"/>
    </row>
    <row r="539" ht="15.75" customHeight="1" s="39">
      <c r="C539" s="8" t="n"/>
    </row>
    <row r="540" ht="15.75" customHeight="1" s="39">
      <c r="C540" s="8" t="n"/>
    </row>
    <row r="541" ht="15.75" customHeight="1" s="39">
      <c r="C541" s="8" t="n"/>
    </row>
    <row r="542" ht="15.75" customHeight="1" s="39">
      <c r="C542" s="8" t="n"/>
    </row>
    <row r="543" ht="15.75" customHeight="1" s="39">
      <c r="C543" s="8" t="n"/>
    </row>
    <row r="544" ht="15.75" customHeight="1" s="39">
      <c r="C544" s="8" t="n"/>
    </row>
    <row r="545" ht="15.75" customHeight="1" s="39">
      <c r="C545" s="8" t="n"/>
    </row>
    <row r="546" ht="15.75" customHeight="1" s="39">
      <c r="C546" s="8" t="n"/>
    </row>
    <row r="547" ht="15.75" customHeight="1" s="39">
      <c r="C547" s="8" t="n"/>
    </row>
    <row r="548" ht="15.75" customHeight="1" s="39">
      <c r="C548" s="8" t="n"/>
    </row>
    <row r="549" ht="15.75" customHeight="1" s="39">
      <c r="C549" s="8" t="n"/>
    </row>
    <row r="550" ht="15.75" customHeight="1" s="39">
      <c r="C550" s="8" t="n"/>
    </row>
    <row r="551" ht="15.75" customHeight="1" s="39">
      <c r="C551" s="8" t="n"/>
    </row>
    <row r="552" ht="15.75" customHeight="1" s="39">
      <c r="C552" s="8" t="n"/>
    </row>
    <row r="553" ht="15.75" customHeight="1" s="39">
      <c r="C553" s="8" t="n"/>
    </row>
    <row r="554" ht="15.75" customHeight="1" s="39">
      <c r="C554" s="8" t="n"/>
    </row>
    <row r="555" ht="15.75" customHeight="1" s="39">
      <c r="C555" s="8" t="n"/>
    </row>
    <row r="556" ht="15.75" customHeight="1" s="39">
      <c r="C556" s="8" t="n"/>
    </row>
    <row r="557" ht="15.75" customHeight="1" s="39">
      <c r="C557" s="8" t="n"/>
    </row>
    <row r="558" ht="15.75" customHeight="1" s="39">
      <c r="C558" s="8" t="n"/>
    </row>
    <row r="559" ht="15.75" customHeight="1" s="39">
      <c r="C559" s="8" t="n"/>
    </row>
    <row r="560" ht="15.75" customHeight="1" s="39">
      <c r="C560" s="8" t="n"/>
    </row>
    <row r="561" ht="15.75" customHeight="1" s="39">
      <c r="C561" s="8" t="n"/>
    </row>
    <row r="562" ht="15.75" customHeight="1" s="39">
      <c r="C562" s="8" t="n"/>
    </row>
    <row r="563" ht="15.75" customHeight="1" s="39">
      <c r="C563" s="8" t="n"/>
    </row>
    <row r="564" ht="15.75" customHeight="1" s="39">
      <c r="C564" s="8" t="n"/>
    </row>
    <row r="565" ht="15.75" customHeight="1" s="39">
      <c r="C565" s="8" t="n"/>
    </row>
    <row r="566" ht="15.75" customHeight="1" s="39">
      <c r="C566" s="8" t="n"/>
    </row>
    <row r="567" ht="15.75" customHeight="1" s="39">
      <c r="C567" s="8" t="n"/>
    </row>
    <row r="568" ht="15.75" customHeight="1" s="39">
      <c r="C568" s="8" t="n"/>
    </row>
    <row r="569" ht="15.75" customHeight="1" s="39">
      <c r="C569" s="8" t="n"/>
    </row>
    <row r="570" ht="15.75" customHeight="1" s="39">
      <c r="C570" s="8" t="n"/>
    </row>
    <row r="571" ht="15.75" customHeight="1" s="39">
      <c r="C571" s="8" t="n"/>
    </row>
    <row r="572" ht="15.75" customHeight="1" s="39">
      <c r="C572" s="8" t="n"/>
    </row>
    <row r="573" ht="15.75" customHeight="1" s="39">
      <c r="C573" s="8" t="n"/>
    </row>
    <row r="574" ht="15.75" customHeight="1" s="39">
      <c r="C574" s="8" t="n"/>
    </row>
    <row r="575" ht="15.75" customHeight="1" s="39">
      <c r="C575" s="8" t="n"/>
    </row>
    <row r="576" ht="15.75" customHeight="1" s="39">
      <c r="C576" s="8" t="n"/>
    </row>
    <row r="577" ht="15.75" customHeight="1" s="39">
      <c r="C577" s="8" t="n"/>
    </row>
    <row r="578" ht="15.75" customHeight="1" s="39">
      <c r="C578" s="8" t="n"/>
    </row>
    <row r="579" ht="15.75" customHeight="1" s="39">
      <c r="C579" s="8" t="n"/>
    </row>
    <row r="580" ht="15.75" customHeight="1" s="39">
      <c r="C580" s="8" t="n"/>
    </row>
    <row r="581" ht="15.75" customHeight="1" s="39">
      <c r="C581" s="8" t="n"/>
    </row>
    <row r="582" ht="15.75" customHeight="1" s="39">
      <c r="C582" s="8" t="n"/>
    </row>
    <row r="583" ht="15.75" customHeight="1" s="39">
      <c r="C583" s="8" t="n"/>
    </row>
    <row r="584" ht="15.75" customHeight="1" s="39">
      <c r="C584" s="8" t="n"/>
    </row>
    <row r="585" ht="15.75" customHeight="1" s="39">
      <c r="C585" s="8" t="n"/>
    </row>
    <row r="586" ht="15.75" customHeight="1" s="39">
      <c r="C586" s="8" t="n"/>
    </row>
    <row r="587" ht="15.75" customHeight="1" s="39">
      <c r="C587" s="8" t="n"/>
    </row>
    <row r="588" ht="15.75" customHeight="1" s="39">
      <c r="C588" s="8" t="n"/>
    </row>
    <row r="589" ht="15.75" customHeight="1" s="39">
      <c r="C589" s="8" t="n"/>
    </row>
    <row r="590" ht="15.75" customHeight="1" s="39">
      <c r="C590" s="8" t="n"/>
    </row>
    <row r="591" ht="15.75" customHeight="1" s="39">
      <c r="C591" s="8" t="n"/>
    </row>
    <row r="592" ht="15.75" customHeight="1" s="39">
      <c r="C592" s="8" t="n"/>
    </row>
    <row r="593" ht="15.75" customHeight="1" s="39">
      <c r="C593" s="8" t="n"/>
    </row>
    <row r="594" ht="15.75" customHeight="1" s="39">
      <c r="C594" s="8" t="n"/>
    </row>
    <row r="595" ht="15.75" customHeight="1" s="39">
      <c r="C595" s="8" t="n"/>
    </row>
    <row r="596" ht="15.75" customHeight="1" s="39">
      <c r="C596" s="8" t="n"/>
    </row>
    <row r="597" ht="15.75" customHeight="1" s="39">
      <c r="C597" s="8" t="n"/>
    </row>
    <row r="598" ht="15.75" customHeight="1" s="39">
      <c r="C598" s="8" t="n"/>
    </row>
    <row r="599" ht="15.75" customHeight="1" s="39">
      <c r="C599" s="8" t="n"/>
    </row>
    <row r="600" ht="15.75" customHeight="1" s="39">
      <c r="C600" s="8" t="n"/>
    </row>
    <row r="601" ht="15.75" customHeight="1" s="39">
      <c r="C601" s="8" t="n"/>
    </row>
    <row r="602" ht="15.75" customHeight="1" s="39">
      <c r="C602" s="8" t="n"/>
    </row>
    <row r="603" ht="15.75" customHeight="1" s="39">
      <c r="C603" s="8" t="n"/>
    </row>
    <row r="604" ht="15.75" customHeight="1" s="39">
      <c r="C604" s="8" t="n"/>
    </row>
    <row r="605" ht="15.75" customHeight="1" s="39">
      <c r="C605" s="8" t="n"/>
    </row>
    <row r="606" ht="15.75" customHeight="1" s="39">
      <c r="C606" s="8" t="n"/>
    </row>
    <row r="607" ht="15.75" customHeight="1" s="39">
      <c r="C607" s="8" t="n"/>
    </row>
    <row r="608" ht="15.75" customHeight="1" s="39">
      <c r="C608" s="8" t="n"/>
    </row>
    <row r="609" ht="15.75" customHeight="1" s="39">
      <c r="C609" s="8" t="n"/>
    </row>
    <row r="610" ht="15.75" customHeight="1" s="39">
      <c r="C610" s="8" t="n"/>
    </row>
    <row r="611" ht="15.75" customHeight="1" s="39">
      <c r="C611" s="8" t="n"/>
    </row>
    <row r="612" ht="15.75" customHeight="1" s="39">
      <c r="C612" s="8" t="n"/>
    </row>
    <row r="613" ht="15.75" customHeight="1" s="39">
      <c r="C613" s="8" t="n"/>
    </row>
    <row r="614" ht="15.75" customHeight="1" s="39">
      <c r="C614" s="8" t="n"/>
    </row>
    <row r="615" ht="15.75" customHeight="1" s="39">
      <c r="C615" s="8" t="n"/>
    </row>
    <row r="616" ht="15.75" customHeight="1" s="39">
      <c r="C616" s="8" t="n"/>
    </row>
    <row r="617" ht="15.75" customHeight="1" s="39">
      <c r="C617" s="8" t="n"/>
    </row>
    <row r="618" ht="15.75" customHeight="1" s="39">
      <c r="C618" s="8" t="n"/>
    </row>
    <row r="619" ht="15.75" customHeight="1" s="39">
      <c r="C619" s="8" t="n"/>
    </row>
    <row r="620" ht="15.75" customHeight="1" s="39">
      <c r="C620" s="8" t="n"/>
    </row>
    <row r="621" ht="15.75" customHeight="1" s="39">
      <c r="C621" s="8" t="n"/>
    </row>
    <row r="622" ht="15.75" customHeight="1" s="39">
      <c r="C622" s="8" t="n"/>
    </row>
    <row r="623" ht="15.75" customHeight="1" s="39">
      <c r="C623" s="8" t="n"/>
    </row>
    <row r="624" ht="15.75" customHeight="1" s="39">
      <c r="C624" s="8" t="n"/>
    </row>
    <row r="625" ht="15.75" customHeight="1" s="39">
      <c r="C625" s="8" t="n"/>
    </row>
    <row r="626" ht="15.75" customHeight="1" s="39">
      <c r="C626" s="8" t="n"/>
    </row>
    <row r="627" ht="15.75" customHeight="1" s="39">
      <c r="C627" s="8" t="n"/>
    </row>
    <row r="628" ht="15.75" customHeight="1" s="39">
      <c r="C628" s="8" t="n"/>
    </row>
    <row r="629" ht="15.75" customHeight="1" s="39">
      <c r="C629" s="8" t="n"/>
    </row>
    <row r="630" ht="15.75" customHeight="1" s="39">
      <c r="C630" s="8" t="n"/>
    </row>
    <row r="631" ht="15.75" customHeight="1" s="39">
      <c r="C631" s="8" t="n"/>
    </row>
    <row r="632" ht="15.75" customHeight="1" s="39">
      <c r="C632" s="8" t="n"/>
    </row>
    <row r="633" ht="15.75" customHeight="1" s="39">
      <c r="C633" s="8" t="n"/>
    </row>
    <row r="634" ht="15.75" customHeight="1" s="39">
      <c r="C634" s="8" t="n"/>
    </row>
    <row r="635" ht="15.75" customHeight="1" s="39">
      <c r="C635" s="8" t="n"/>
    </row>
    <row r="636" ht="15.75" customHeight="1" s="39">
      <c r="C636" s="8" t="n"/>
    </row>
    <row r="637" ht="15.75" customHeight="1" s="39">
      <c r="C637" s="8" t="n"/>
    </row>
    <row r="638" ht="15.75" customHeight="1" s="39">
      <c r="C638" s="8" t="n"/>
    </row>
    <row r="639" ht="15.75" customHeight="1" s="39">
      <c r="C639" s="8" t="n"/>
    </row>
    <row r="640" ht="15.75" customHeight="1" s="39">
      <c r="C640" s="8" t="n"/>
    </row>
    <row r="641" ht="15.75" customHeight="1" s="39">
      <c r="C641" s="8" t="n"/>
    </row>
    <row r="642" ht="15.75" customHeight="1" s="39">
      <c r="C642" s="8" t="n"/>
    </row>
    <row r="643" ht="15.75" customHeight="1" s="39">
      <c r="C643" s="8" t="n"/>
    </row>
    <row r="644" ht="15.75" customHeight="1" s="39">
      <c r="C644" s="8" t="n"/>
    </row>
    <row r="645" ht="15.75" customHeight="1" s="39">
      <c r="C645" s="8" t="n"/>
    </row>
    <row r="646" ht="15.75" customHeight="1" s="39">
      <c r="C646" s="8" t="n"/>
    </row>
    <row r="647" ht="15.75" customHeight="1" s="39">
      <c r="C647" s="8" t="n"/>
    </row>
    <row r="648" ht="15.75" customHeight="1" s="39">
      <c r="C648" s="8" t="n"/>
    </row>
    <row r="649" ht="15.75" customHeight="1" s="39">
      <c r="C649" s="8" t="n"/>
    </row>
    <row r="650" ht="15.75" customHeight="1" s="39">
      <c r="C650" s="8" t="n"/>
    </row>
    <row r="651" ht="15.75" customHeight="1" s="39">
      <c r="C651" s="8" t="n"/>
    </row>
    <row r="652" ht="15.75" customHeight="1" s="39">
      <c r="C652" s="8" t="n"/>
    </row>
    <row r="653" ht="15.75" customHeight="1" s="39">
      <c r="C653" s="8" t="n"/>
    </row>
    <row r="654" ht="15.75" customHeight="1" s="39">
      <c r="C654" s="8" t="n"/>
    </row>
    <row r="655" ht="15.75" customHeight="1" s="39">
      <c r="C655" s="8" t="n"/>
    </row>
    <row r="656" ht="15.75" customHeight="1" s="39">
      <c r="C656" s="8" t="n"/>
    </row>
    <row r="657" ht="15.75" customHeight="1" s="39">
      <c r="C657" s="8" t="n"/>
    </row>
    <row r="658" ht="15.75" customHeight="1" s="39">
      <c r="C658" s="8" t="n"/>
    </row>
    <row r="659" ht="15.75" customHeight="1" s="39">
      <c r="C659" s="8" t="n"/>
    </row>
    <row r="660" ht="15.75" customHeight="1" s="39">
      <c r="C660" s="8" t="n"/>
    </row>
    <row r="661" ht="15.75" customHeight="1" s="39">
      <c r="C661" s="8" t="n"/>
    </row>
    <row r="662" ht="15.75" customHeight="1" s="39">
      <c r="C662" s="8" t="n"/>
    </row>
    <row r="663" ht="15.75" customHeight="1" s="39">
      <c r="C663" s="8" t="n"/>
    </row>
    <row r="664" ht="15.75" customHeight="1" s="39">
      <c r="C664" s="8" t="n"/>
    </row>
    <row r="665" ht="15.75" customHeight="1" s="39">
      <c r="C665" s="8" t="n"/>
    </row>
    <row r="666" ht="15.75" customHeight="1" s="39">
      <c r="C666" s="8" t="n"/>
    </row>
    <row r="667" ht="15.75" customHeight="1" s="39">
      <c r="C667" s="8" t="n"/>
    </row>
    <row r="668" ht="15.75" customHeight="1" s="39">
      <c r="C668" s="8" t="n"/>
    </row>
    <row r="669" ht="15.75" customHeight="1" s="39">
      <c r="C669" s="8" t="n"/>
    </row>
    <row r="670" ht="15.75" customHeight="1" s="39">
      <c r="C670" s="8" t="n"/>
    </row>
    <row r="671" ht="15.75" customHeight="1" s="39">
      <c r="C671" s="8" t="n"/>
    </row>
    <row r="672" ht="15.75" customHeight="1" s="39">
      <c r="C672" s="8" t="n"/>
    </row>
    <row r="673" ht="15.75" customHeight="1" s="39">
      <c r="C673" s="8" t="n"/>
    </row>
    <row r="674" ht="15.75" customHeight="1" s="39">
      <c r="C674" s="8" t="n"/>
    </row>
    <row r="675" ht="15.75" customHeight="1" s="39">
      <c r="C675" s="8" t="n"/>
    </row>
    <row r="676" ht="15.75" customHeight="1" s="39">
      <c r="C676" s="8" t="n"/>
    </row>
    <row r="677" ht="15.75" customHeight="1" s="39">
      <c r="C677" s="8" t="n"/>
    </row>
    <row r="678" ht="15.75" customHeight="1" s="39">
      <c r="C678" s="8" t="n"/>
    </row>
    <row r="679" ht="15.75" customHeight="1" s="39">
      <c r="C679" s="8" t="n"/>
    </row>
    <row r="680" ht="15.75" customHeight="1" s="39">
      <c r="C680" s="8" t="n"/>
    </row>
    <row r="681" ht="15.75" customHeight="1" s="39">
      <c r="C681" s="8" t="n"/>
    </row>
    <row r="682" ht="15.75" customHeight="1" s="39">
      <c r="C682" s="8" t="n"/>
    </row>
    <row r="683" ht="15.75" customHeight="1" s="39">
      <c r="C683" s="8" t="n"/>
    </row>
    <row r="684" ht="15.75" customHeight="1" s="39">
      <c r="C684" s="8" t="n"/>
    </row>
    <row r="685" ht="15.75" customHeight="1" s="39">
      <c r="C685" s="8" t="n"/>
    </row>
    <row r="686" ht="15.75" customHeight="1" s="39">
      <c r="C686" s="8" t="n"/>
    </row>
    <row r="687" ht="15.75" customHeight="1" s="39">
      <c r="C687" s="8" t="n"/>
    </row>
    <row r="688" ht="15.75" customHeight="1" s="39">
      <c r="C688" s="8" t="n"/>
    </row>
    <row r="689" ht="15.75" customHeight="1" s="39">
      <c r="C689" s="8" t="n"/>
    </row>
    <row r="690" ht="15.75" customHeight="1" s="39">
      <c r="C690" s="8" t="n"/>
    </row>
    <row r="691" ht="15.75" customHeight="1" s="39">
      <c r="C691" s="8" t="n"/>
    </row>
    <row r="692" ht="15.75" customHeight="1" s="39">
      <c r="C692" s="8" t="n"/>
    </row>
    <row r="693" ht="15.75" customHeight="1" s="39">
      <c r="C693" s="8" t="n"/>
    </row>
    <row r="694" ht="15.75" customHeight="1" s="39">
      <c r="C694" s="8" t="n"/>
    </row>
    <row r="695" ht="15.75" customHeight="1" s="39">
      <c r="C695" s="8" t="n"/>
    </row>
    <row r="696" ht="15.75" customHeight="1" s="39">
      <c r="C696" s="8" t="n"/>
    </row>
    <row r="697" ht="15.75" customHeight="1" s="39">
      <c r="C697" s="8" t="n"/>
    </row>
    <row r="698" ht="15.75" customHeight="1" s="39">
      <c r="C698" s="8" t="n"/>
    </row>
    <row r="699" ht="15.75" customHeight="1" s="39">
      <c r="C699" s="8" t="n"/>
    </row>
    <row r="700" ht="15.75" customHeight="1" s="39">
      <c r="C700" s="8" t="n"/>
    </row>
    <row r="701" ht="15.75" customHeight="1" s="39">
      <c r="C701" s="8" t="n"/>
    </row>
    <row r="702" ht="15.75" customHeight="1" s="39">
      <c r="C702" s="8" t="n"/>
    </row>
    <row r="703" ht="15.75" customHeight="1" s="39">
      <c r="C703" s="8" t="n"/>
    </row>
    <row r="704" ht="15.75" customHeight="1" s="39">
      <c r="C704" s="8" t="n"/>
    </row>
    <row r="705" ht="15.75" customHeight="1" s="39">
      <c r="C705" s="8" t="n"/>
    </row>
    <row r="706" ht="15.75" customHeight="1" s="39">
      <c r="C706" s="8" t="n"/>
    </row>
    <row r="707" ht="15.75" customHeight="1" s="39">
      <c r="C707" s="8" t="n"/>
    </row>
    <row r="708" ht="15.75" customHeight="1" s="39">
      <c r="C708" s="8" t="n"/>
    </row>
    <row r="709" ht="15.75" customHeight="1" s="39">
      <c r="C709" s="8" t="n"/>
    </row>
    <row r="710" ht="15.75" customHeight="1" s="39">
      <c r="C710" s="8" t="n"/>
    </row>
    <row r="711" ht="15.75" customHeight="1" s="39">
      <c r="C711" s="8" t="n"/>
    </row>
    <row r="712" ht="15.75" customHeight="1" s="39">
      <c r="C712" s="8" t="n"/>
    </row>
    <row r="713" ht="15.75" customHeight="1" s="39">
      <c r="C713" s="8" t="n"/>
    </row>
    <row r="714" ht="15.75" customHeight="1" s="39">
      <c r="C714" s="8" t="n"/>
    </row>
    <row r="715" ht="15.75" customHeight="1" s="39">
      <c r="C715" s="8" t="n"/>
    </row>
    <row r="716" ht="15.75" customHeight="1" s="39">
      <c r="C716" s="8" t="n"/>
    </row>
    <row r="717" ht="15.75" customHeight="1" s="39">
      <c r="C717" s="8" t="n"/>
    </row>
    <row r="718" ht="15.75" customHeight="1" s="39">
      <c r="C718" s="8" t="n"/>
    </row>
    <row r="719" ht="15.75" customHeight="1" s="39">
      <c r="C719" s="8" t="n"/>
    </row>
    <row r="720" ht="15.75" customHeight="1" s="39">
      <c r="C720" s="8" t="n"/>
    </row>
    <row r="721" ht="15.75" customHeight="1" s="39">
      <c r="C721" s="8" t="n"/>
    </row>
    <row r="722" ht="15.75" customHeight="1" s="39">
      <c r="C722" s="8" t="n"/>
    </row>
    <row r="723" ht="15.75" customHeight="1" s="39">
      <c r="C723" s="8" t="n"/>
    </row>
    <row r="724" ht="15.75" customHeight="1" s="39">
      <c r="C724" s="8" t="n"/>
    </row>
    <row r="725" ht="15.75" customHeight="1" s="39">
      <c r="C725" s="8" t="n"/>
    </row>
    <row r="726" ht="15.75" customHeight="1" s="39">
      <c r="C726" s="8" t="n"/>
    </row>
    <row r="727" ht="15.75" customHeight="1" s="39">
      <c r="C727" s="8" t="n"/>
    </row>
    <row r="728" ht="15.75" customHeight="1" s="39">
      <c r="C728" s="8" t="n"/>
    </row>
    <row r="729" ht="15.75" customHeight="1" s="39">
      <c r="C729" s="8" t="n"/>
    </row>
    <row r="730" ht="15.75" customHeight="1" s="39">
      <c r="C730" s="8" t="n"/>
    </row>
    <row r="731" ht="15.75" customHeight="1" s="39">
      <c r="C731" s="8" t="n"/>
    </row>
    <row r="732" ht="15.75" customHeight="1" s="39">
      <c r="C732" s="8" t="n"/>
    </row>
    <row r="733" ht="15.75" customHeight="1" s="39">
      <c r="C733" s="8" t="n"/>
    </row>
    <row r="734" ht="15.75" customHeight="1" s="39">
      <c r="C734" s="8" t="n"/>
    </row>
    <row r="735" ht="15.75" customHeight="1" s="39">
      <c r="C735" s="8" t="n"/>
    </row>
    <row r="736" ht="15.75" customHeight="1" s="39">
      <c r="C736" s="8" t="n"/>
    </row>
    <row r="737" ht="15.75" customHeight="1" s="39">
      <c r="C737" s="8" t="n"/>
    </row>
    <row r="738" ht="15.75" customHeight="1" s="39">
      <c r="C738" s="8" t="n"/>
    </row>
    <row r="739" ht="15.75" customHeight="1" s="39">
      <c r="C739" s="8" t="n"/>
    </row>
    <row r="740" ht="15.75" customHeight="1" s="39">
      <c r="C740" s="8" t="n"/>
    </row>
    <row r="741" ht="15.75" customHeight="1" s="39">
      <c r="C741" s="8" t="n"/>
    </row>
    <row r="742" ht="15.75" customHeight="1" s="39">
      <c r="C742" s="8" t="n"/>
    </row>
    <row r="743" ht="15.75" customHeight="1" s="39">
      <c r="C743" s="8" t="n"/>
    </row>
    <row r="744" ht="15.75" customHeight="1" s="39">
      <c r="C744" s="8" t="n"/>
    </row>
    <row r="745" ht="15.75" customHeight="1" s="39">
      <c r="C745" s="8" t="n"/>
    </row>
    <row r="746" ht="15.75" customHeight="1" s="39">
      <c r="C746" s="8" t="n"/>
    </row>
    <row r="747" ht="15.75" customHeight="1" s="39">
      <c r="C747" s="8" t="n"/>
    </row>
    <row r="748" ht="15.75" customHeight="1" s="39">
      <c r="C748" s="8" t="n"/>
    </row>
    <row r="749" ht="15.75" customHeight="1" s="39">
      <c r="C749" s="8" t="n"/>
    </row>
    <row r="750" ht="15.75" customHeight="1" s="39">
      <c r="C750" s="8" t="n"/>
    </row>
    <row r="751" ht="15.75" customHeight="1" s="39">
      <c r="C751" s="8" t="n"/>
    </row>
    <row r="752" ht="15.75" customHeight="1" s="39">
      <c r="C752" s="8" t="n"/>
    </row>
    <row r="753" ht="15.75" customHeight="1" s="39">
      <c r="C753" s="8" t="n"/>
    </row>
    <row r="754" ht="15.75" customHeight="1" s="39">
      <c r="C754" s="8" t="n"/>
    </row>
    <row r="755" ht="15.75" customHeight="1" s="39">
      <c r="C755" s="8" t="n"/>
    </row>
    <row r="756" ht="15.75" customHeight="1" s="39">
      <c r="C756" s="8" t="n"/>
    </row>
    <row r="757" ht="15.75" customHeight="1" s="39">
      <c r="C757" s="8" t="n"/>
    </row>
    <row r="758" ht="15.75" customHeight="1" s="39">
      <c r="C758" s="8" t="n"/>
    </row>
    <row r="759" ht="15.75" customHeight="1" s="39">
      <c r="C759" s="8" t="n"/>
    </row>
    <row r="760" ht="15.75" customHeight="1" s="39">
      <c r="C760" s="8" t="n"/>
    </row>
    <row r="761" ht="15.75" customHeight="1" s="39">
      <c r="C761" s="8" t="n"/>
    </row>
    <row r="762" ht="15.75" customHeight="1" s="39">
      <c r="C762" s="8" t="n"/>
    </row>
    <row r="763" ht="15.75" customHeight="1" s="39">
      <c r="C763" s="8" t="n"/>
    </row>
    <row r="764" ht="15.75" customHeight="1" s="39">
      <c r="C764" s="8" t="n"/>
    </row>
    <row r="765" ht="15.75" customHeight="1" s="39">
      <c r="C765" s="8" t="n"/>
    </row>
    <row r="766" ht="15.75" customHeight="1" s="39">
      <c r="C766" s="8" t="n"/>
    </row>
    <row r="767" ht="15.75" customHeight="1" s="39">
      <c r="C767" s="8" t="n"/>
    </row>
    <row r="768" ht="15.75" customHeight="1" s="39">
      <c r="C768" s="8" t="n"/>
    </row>
    <row r="769" ht="15.75" customHeight="1" s="39">
      <c r="C769" s="8" t="n"/>
    </row>
    <row r="770" ht="15.75" customHeight="1" s="39">
      <c r="C770" s="8" t="n"/>
    </row>
    <row r="771" ht="15.75" customHeight="1" s="39">
      <c r="C771" s="8" t="n"/>
    </row>
    <row r="772" ht="15.75" customHeight="1" s="39">
      <c r="C772" s="8" t="n"/>
    </row>
    <row r="773" ht="15.75" customHeight="1" s="39">
      <c r="C773" s="8" t="n"/>
    </row>
    <row r="774" ht="15.75" customHeight="1" s="39">
      <c r="C774" s="8" t="n"/>
    </row>
    <row r="775" ht="15.75" customHeight="1" s="39">
      <c r="C775" s="8" t="n"/>
    </row>
    <row r="776" ht="15.75" customHeight="1" s="39">
      <c r="C776" s="8" t="n"/>
    </row>
    <row r="777" ht="15.75" customHeight="1" s="39">
      <c r="C777" s="8" t="n"/>
    </row>
    <row r="778" ht="15.75" customHeight="1" s="39">
      <c r="C778" s="8" t="n"/>
    </row>
    <row r="779" ht="15.75" customHeight="1" s="39">
      <c r="C779" s="8" t="n"/>
    </row>
    <row r="780" ht="15.75" customHeight="1" s="39">
      <c r="C780" s="8" t="n"/>
    </row>
    <row r="781" ht="15.75" customHeight="1" s="39">
      <c r="C781" s="8" t="n"/>
    </row>
    <row r="782" ht="15.75" customHeight="1" s="39">
      <c r="C782" s="8" t="n"/>
    </row>
    <row r="783" ht="15.75" customHeight="1" s="39">
      <c r="C783" s="8" t="n"/>
    </row>
    <row r="784" ht="15.75" customHeight="1" s="39">
      <c r="C784" s="8" t="n"/>
    </row>
    <row r="785" ht="15.75" customHeight="1" s="39">
      <c r="C785" s="8" t="n"/>
    </row>
    <row r="786" ht="15.75" customHeight="1" s="39">
      <c r="C786" s="8" t="n"/>
    </row>
    <row r="787" ht="15.75" customHeight="1" s="39">
      <c r="C787" s="8" t="n"/>
    </row>
    <row r="788" ht="15.75" customHeight="1" s="39">
      <c r="C788" s="8" t="n"/>
    </row>
    <row r="789" ht="15.75" customHeight="1" s="39">
      <c r="C789" s="8" t="n"/>
    </row>
    <row r="790" ht="15.75" customHeight="1" s="39">
      <c r="C790" s="8" t="n"/>
    </row>
    <row r="791" ht="15.75" customHeight="1" s="39">
      <c r="C791" s="8" t="n"/>
    </row>
    <row r="792" ht="15.75" customHeight="1" s="39">
      <c r="C792" s="8" t="n"/>
    </row>
    <row r="793" ht="15.75" customHeight="1" s="39">
      <c r="C793" s="8" t="n"/>
    </row>
    <row r="794" ht="15.75" customHeight="1" s="39">
      <c r="C794" s="8" t="n"/>
    </row>
    <row r="795" ht="15.75" customHeight="1" s="39">
      <c r="C795" s="8" t="n"/>
    </row>
    <row r="796" ht="15.75" customHeight="1" s="39">
      <c r="C796" s="8" t="n"/>
    </row>
    <row r="797" ht="15.75" customHeight="1" s="39">
      <c r="C797" s="8" t="n"/>
    </row>
    <row r="798" ht="15.75" customHeight="1" s="39">
      <c r="C798" s="8" t="n"/>
    </row>
    <row r="799" ht="15.75" customHeight="1" s="39">
      <c r="C799" s="8" t="n"/>
    </row>
    <row r="800" ht="15.75" customHeight="1" s="39">
      <c r="C800" s="8" t="n"/>
    </row>
    <row r="801" ht="15.75" customHeight="1" s="39">
      <c r="C801" s="8" t="n"/>
    </row>
    <row r="802" ht="15.75" customHeight="1" s="39">
      <c r="C802" s="8" t="n"/>
    </row>
    <row r="803" ht="15.75" customHeight="1" s="39">
      <c r="C803" s="8" t="n"/>
    </row>
    <row r="804" ht="15.75" customHeight="1" s="39">
      <c r="C804" s="8" t="n"/>
    </row>
    <row r="805" ht="15.75" customHeight="1" s="39">
      <c r="C805" s="8" t="n"/>
    </row>
    <row r="806" ht="15.75" customHeight="1" s="39">
      <c r="C806" s="8" t="n"/>
    </row>
    <row r="807" ht="15.75" customHeight="1" s="39">
      <c r="C807" s="8" t="n"/>
    </row>
    <row r="808" ht="15.75" customHeight="1" s="39">
      <c r="C808" s="8" t="n"/>
    </row>
    <row r="809" ht="15.75" customHeight="1" s="39">
      <c r="C809" s="8" t="n"/>
    </row>
    <row r="810" ht="15.75" customHeight="1" s="39">
      <c r="C810" s="8" t="n"/>
    </row>
    <row r="811" ht="15.75" customHeight="1" s="39">
      <c r="C811" s="8" t="n"/>
    </row>
    <row r="812" ht="15.75" customHeight="1" s="39">
      <c r="C812" s="8" t="n"/>
    </row>
    <row r="813" ht="15.75" customHeight="1" s="39">
      <c r="C813" s="8" t="n"/>
    </row>
    <row r="814" ht="15.75" customHeight="1" s="39">
      <c r="C814" s="8" t="n"/>
    </row>
    <row r="815" ht="15.75" customHeight="1" s="39">
      <c r="C815" s="8" t="n"/>
    </row>
    <row r="816" ht="15.75" customHeight="1" s="39">
      <c r="C816" s="8" t="n"/>
    </row>
    <row r="817" ht="15.75" customHeight="1" s="39">
      <c r="C817" s="8" t="n"/>
    </row>
    <row r="818" ht="15.75" customHeight="1" s="39">
      <c r="C818" s="8" t="n"/>
    </row>
    <row r="819" ht="15.75" customHeight="1" s="39">
      <c r="C819" s="8" t="n"/>
    </row>
    <row r="820" ht="15.75" customHeight="1" s="39">
      <c r="C820" s="8" t="n"/>
    </row>
    <row r="821" ht="15.75" customHeight="1" s="39">
      <c r="C821" s="8" t="n"/>
    </row>
    <row r="822" ht="15.75" customHeight="1" s="39">
      <c r="C822" s="8" t="n"/>
    </row>
    <row r="823" ht="15.75" customHeight="1" s="39">
      <c r="C823" s="8" t="n"/>
    </row>
    <row r="824" ht="15.75" customHeight="1" s="39">
      <c r="C824" s="8" t="n"/>
    </row>
    <row r="825" ht="15.75" customHeight="1" s="39">
      <c r="C825" s="8" t="n"/>
    </row>
    <row r="826" ht="15.75" customHeight="1" s="39">
      <c r="C826" s="8" t="n"/>
    </row>
    <row r="827" ht="15.75" customHeight="1" s="39">
      <c r="C827" s="8" t="n"/>
    </row>
    <row r="828" ht="15.75" customHeight="1" s="39">
      <c r="C828" s="8" t="n"/>
    </row>
    <row r="829" ht="15.75" customHeight="1" s="39">
      <c r="C829" s="8" t="n"/>
    </row>
    <row r="830" ht="15.75" customHeight="1" s="39">
      <c r="C830" s="8" t="n"/>
    </row>
    <row r="831" ht="15.75" customHeight="1" s="39">
      <c r="C831" s="8" t="n"/>
    </row>
    <row r="832" ht="15.75" customHeight="1" s="39">
      <c r="C832" s="8" t="n"/>
    </row>
    <row r="833" ht="15.75" customHeight="1" s="39">
      <c r="C833" s="8" t="n"/>
    </row>
    <row r="834" ht="15.75" customHeight="1" s="39">
      <c r="C834" s="8" t="n"/>
    </row>
    <row r="835" ht="15.75" customHeight="1" s="39">
      <c r="C835" s="8" t="n"/>
    </row>
    <row r="836" ht="15.75" customHeight="1" s="39">
      <c r="C836" s="8" t="n"/>
    </row>
    <row r="837" ht="15.75" customHeight="1" s="39">
      <c r="C837" s="8" t="n"/>
    </row>
    <row r="838" ht="15.75" customHeight="1" s="39">
      <c r="C838" s="8" t="n"/>
    </row>
    <row r="839" ht="15.75" customHeight="1" s="39">
      <c r="C839" s="8" t="n"/>
    </row>
    <row r="840" ht="15.75" customHeight="1" s="39">
      <c r="C840" s="8" t="n"/>
    </row>
    <row r="841" ht="15.75" customHeight="1" s="39">
      <c r="C841" s="8" t="n"/>
    </row>
    <row r="842" ht="15.75" customHeight="1" s="39">
      <c r="C842" s="8" t="n"/>
    </row>
    <row r="843" ht="15.75" customHeight="1" s="39">
      <c r="C843" s="8" t="n"/>
    </row>
    <row r="844" ht="15.75" customHeight="1" s="39">
      <c r="C844" s="8" t="n"/>
    </row>
    <row r="845" ht="15.75" customHeight="1" s="39">
      <c r="C845" s="8" t="n"/>
    </row>
    <row r="846" ht="15.75" customHeight="1" s="39">
      <c r="C846" s="8" t="n"/>
    </row>
    <row r="847" ht="15.75" customHeight="1" s="39">
      <c r="C847" s="8" t="n"/>
    </row>
    <row r="848" ht="15.75" customHeight="1" s="39">
      <c r="C848" s="8" t="n"/>
    </row>
    <row r="849" ht="15.75" customHeight="1" s="39">
      <c r="C849" s="8" t="n"/>
    </row>
    <row r="850" ht="15.75" customHeight="1" s="39">
      <c r="C850" s="8" t="n"/>
    </row>
    <row r="851" ht="15.75" customHeight="1" s="39">
      <c r="C851" s="8" t="n"/>
    </row>
    <row r="852" ht="15.75" customHeight="1" s="39">
      <c r="C852" s="8" t="n"/>
    </row>
    <row r="853" ht="15.75" customHeight="1" s="39">
      <c r="C853" s="8" t="n"/>
    </row>
    <row r="854" ht="15.75" customHeight="1" s="39">
      <c r="C854" s="8" t="n"/>
    </row>
    <row r="855" ht="15.75" customHeight="1" s="39">
      <c r="C855" s="8" t="n"/>
    </row>
    <row r="856" ht="15.75" customHeight="1" s="39">
      <c r="C856" s="8" t="n"/>
    </row>
    <row r="857" ht="15.75" customHeight="1" s="39">
      <c r="C857" s="8" t="n"/>
    </row>
    <row r="858" ht="15.75" customHeight="1" s="39">
      <c r="C858" s="8" t="n"/>
    </row>
    <row r="859" ht="15.75" customHeight="1" s="39">
      <c r="C859" s="8" t="n"/>
    </row>
    <row r="860" ht="15.75" customHeight="1" s="39">
      <c r="C860" s="8" t="n"/>
    </row>
    <row r="861" ht="15.75" customHeight="1" s="39">
      <c r="C861" s="8" t="n"/>
    </row>
    <row r="862" ht="15.75" customHeight="1" s="39">
      <c r="C862" s="8" t="n"/>
    </row>
    <row r="863" ht="15.75" customHeight="1" s="39">
      <c r="C863" s="8" t="n"/>
    </row>
    <row r="864" ht="15.75" customHeight="1" s="39">
      <c r="C864" s="8" t="n"/>
    </row>
    <row r="865" ht="15.75" customHeight="1" s="39">
      <c r="C865" s="8" t="n"/>
    </row>
    <row r="866" ht="15.75" customHeight="1" s="39">
      <c r="C866" s="8" t="n"/>
    </row>
    <row r="867" ht="15.75" customHeight="1" s="39">
      <c r="C867" s="8" t="n"/>
    </row>
    <row r="868" ht="15.75" customHeight="1" s="39">
      <c r="C868" s="8" t="n"/>
    </row>
    <row r="869" ht="15.75" customHeight="1" s="39">
      <c r="C869" s="8" t="n"/>
    </row>
    <row r="870" ht="15.75" customHeight="1" s="39">
      <c r="C870" s="8" t="n"/>
    </row>
    <row r="871" ht="15.75" customHeight="1" s="39">
      <c r="C871" s="8" t="n"/>
    </row>
    <row r="872" ht="15.75" customHeight="1" s="39">
      <c r="C872" s="8" t="n"/>
    </row>
    <row r="873" ht="15.75" customHeight="1" s="39">
      <c r="C873" s="8" t="n"/>
    </row>
    <row r="874" ht="15.75" customHeight="1" s="39">
      <c r="C874" s="8" t="n"/>
    </row>
    <row r="875" ht="15.75" customHeight="1" s="39">
      <c r="C875" s="8" t="n"/>
    </row>
    <row r="876" ht="15.75" customHeight="1" s="39">
      <c r="C876" s="8" t="n"/>
    </row>
    <row r="877" ht="15.75" customHeight="1" s="39">
      <c r="C877" s="8" t="n"/>
    </row>
    <row r="878" ht="15.75" customHeight="1" s="39">
      <c r="C878" s="8" t="n"/>
    </row>
    <row r="879" ht="15.75" customHeight="1" s="39">
      <c r="C879" s="8" t="n"/>
    </row>
    <row r="880" ht="15.75" customHeight="1" s="39">
      <c r="C880" s="8" t="n"/>
    </row>
    <row r="881" ht="15.75" customHeight="1" s="39">
      <c r="C881" s="8" t="n"/>
    </row>
    <row r="882" ht="15.75" customHeight="1" s="39">
      <c r="C882" s="8" t="n"/>
    </row>
    <row r="883" ht="15.75" customHeight="1" s="39">
      <c r="C883" s="8" t="n"/>
    </row>
    <row r="884" ht="15.75" customHeight="1" s="39">
      <c r="C884" s="8" t="n"/>
    </row>
    <row r="885" ht="15.75" customHeight="1" s="39">
      <c r="C885" s="8" t="n"/>
    </row>
    <row r="886" ht="15.75" customHeight="1" s="39">
      <c r="C886" s="8" t="n"/>
    </row>
    <row r="887" ht="15.75" customHeight="1" s="39">
      <c r="C887" s="8" t="n"/>
    </row>
    <row r="888" ht="15.75" customHeight="1" s="39">
      <c r="C888" s="8" t="n"/>
    </row>
    <row r="889" ht="15.75" customHeight="1" s="39">
      <c r="C889" s="8" t="n"/>
    </row>
    <row r="890" ht="15.75" customHeight="1" s="39">
      <c r="C890" s="8" t="n"/>
    </row>
    <row r="891" ht="15.75" customHeight="1" s="39">
      <c r="C891" s="8" t="n"/>
    </row>
    <row r="892" ht="15.75" customHeight="1" s="39">
      <c r="C892" s="8" t="n"/>
    </row>
    <row r="893" ht="15.75" customHeight="1" s="39">
      <c r="C893" s="8" t="n"/>
    </row>
    <row r="894" ht="15.75" customHeight="1" s="39">
      <c r="C894" s="8" t="n"/>
    </row>
    <row r="895" ht="15.75" customHeight="1" s="39">
      <c r="C895" s="8" t="n"/>
    </row>
    <row r="896" ht="15.75" customHeight="1" s="39">
      <c r="C896" s="8" t="n"/>
    </row>
    <row r="897" ht="15.75" customHeight="1" s="39">
      <c r="C897" s="8" t="n"/>
    </row>
    <row r="898" ht="15.75" customHeight="1" s="39">
      <c r="C898" s="8" t="n"/>
    </row>
    <row r="899" ht="15.75" customHeight="1" s="39">
      <c r="C899" s="8" t="n"/>
    </row>
    <row r="900" ht="15.75" customHeight="1" s="39">
      <c r="C900" s="8" t="n"/>
    </row>
    <row r="901" ht="15.75" customHeight="1" s="39">
      <c r="C901" s="8" t="n"/>
    </row>
    <row r="902" ht="15.75" customHeight="1" s="39">
      <c r="C902" s="8" t="n"/>
    </row>
    <row r="903" ht="15.75" customHeight="1" s="39">
      <c r="C903" s="8" t="n"/>
    </row>
    <row r="904" ht="15.75" customHeight="1" s="39">
      <c r="C904" s="8" t="n"/>
    </row>
    <row r="905" ht="15.75" customHeight="1" s="39">
      <c r="C905" s="8" t="n"/>
    </row>
    <row r="906" ht="15.75" customHeight="1" s="39">
      <c r="C906" s="8" t="n"/>
    </row>
    <row r="907" ht="15.75" customHeight="1" s="39">
      <c r="C907" s="8" t="n"/>
    </row>
    <row r="908" ht="15.75" customHeight="1" s="39">
      <c r="C908" s="8" t="n"/>
    </row>
    <row r="909" ht="15.75" customHeight="1" s="39">
      <c r="C909" s="8" t="n"/>
    </row>
    <row r="910" ht="15.75" customHeight="1" s="39">
      <c r="C910" s="8" t="n"/>
    </row>
    <row r="911" ht="15.75" customHeight="1" s="39">
      <c r="C911" s="8" t="n"/>
    </row>
    <row r="912" ht="15.75" customHeight="1" s="39">
      <c r="C912" s="8" t="n"/>
    </row>
    <row r="913" ht="15.75" customHeight="1" s="39">
      <c r="C913" s="8" t="n"/>
    </row>
    <row r="914" ht="15.75" customHeight="1" s="39">
      <c r="C914" s="8" t="n"/>
    </row>
    <row r="915" ht="15.75" customHeight="1" s="39">
      <c r="C915" s="8" t="n"/>
    </row>
    <row r="916" ht="15.75" customHeight="1" s="39">
      <c r="C916" s="8" t="n"/>
    </row>
    <row r="917" ht="15.75" customHeight="1" s="39">
      <c r="C917" s="8" t="n"/>
    </row>
    <row r="918" ht="15.75" customHeight="1" s="39">
      <c r="C918" s="8" t="n"/>
    </row>
    <row r="919" ht="15.75" customHeight="1" s="39">
      <c r="C919" s="8" t="n"/>
    </row>
    <row r="920" ht="15.75" customHeight="1" s="39">
      <c r="C920" s="8" t="n"/>
    </row>
    <row r="921" ht="15.75" customHeight="1" s="39">
      <c r="C921" s="8" t="n"/>
    </row>
    <row r="922" ht="15.75" customHeight="1" s="39">
      <c r="C922" s="8" t="n"/>
    </row>
    <row r="923" ht="15.75" customHeight="1" s="39">
      <c r="C923" s="8" t="n"/>
    </row>
    <row r="924" ht="15.75" customHeight="1" s="39">
      <c r="C924" s="8" t="n"/>
    </row>
    <row r="925" ht="15.75" customHeight="1" s="39">
      <c r="C925" s="8" t="n"/>
    </row>
    <row r="926" ht="15.75" customHeight="1" s="39">
      <c r="C926" s="8" t="n"/>
    </row>
    <row r="927" ht="15.75" customHeight="1" s="39">
      <c r="C927" s="8" t="n"/>
    </row>
    <row r="928" ht="15.75" customHeight="1" s="39">
      <c r="C928" s="8" t="n"/>
    </row>
    <row r="929" ht="15.75" customHeight="1" s="39">
      <c r="C929" s="8" t="n"/>
    </row>
    <row r="930" ht="15.75" customHeight="1" s="39">
      <c r="C930" s="8" t="n"/>
    </row>
    <row r="931" ht="15.75" customHeight="1" s="39">
      <c r="C931" s="8" t="n"/>
    </row>
    <row r="932" ht="15.75" customHeight="1" s="39">
      <c r="C932" s="8" t="n"/>
    </row>
    <row r="933" ht="15.75" customHeight="1" s="39">
      <c r="C933" s="8" t="n"/>
    </row>
    <row r="934" ht="15.75" customHeight="1" s="39">
      <c r="C934" s="8" t="n"/>
    </row>
    <row r="935" ht="15.75" customHeight="1" s="39">
      <c r="C935" s="8" t="n"/>
    </row>
    <row r="936" ht="15.75" customHeight="1" s="39">
      <c r="C936" s="8" t="n"/>
    </row>
    <row r="937" ht="15.75" customHeight="1" s="39">
      <c r="C937" s="8" t="n"/>
    </row>
    <row r="938" ht="15.75" customHeight="1" s="39">
      <c r="C938" s="8" t="n"/>
    </row>
    <row r="939" ht="15.75" customHeight="1" s="39">
      <c r="C939" s="8" t="n"/>
    </row>
    <row r="940" ht="15.75" customHeight="1" s="39">
      <c r="C940" s="8" t="n"/>
    </row>
    <row r="941" ht="15.75" customHeight="1" s="39">
      <c r="C941" s="8" t="n"/>
    </row>
    <row r="942" ht="15.75" customHeight="1" s="39">
      <c r="C942" s="8" t="n"/>
    </row>
    <row r="943" ht="15.75" customHeight="1" s="39">
      <c r="C943" s="8" t="n"/>
    </row>
    <row r="944" ht="15.75" customHeight="1" s="39">
      <c r="C944" s="8" t="n"/>
    </row>
    <row r="945" ht="15.75" customHeight="1" s="39">
      <c r="C945" s="8" t="n"/>
    </row>
    <row r="946" ht="15.75" customHeight="1" s="39">
      <c r="C946" s="8" t="n"/>
    </row>
    <row r="947" ht="15.75" customHeight="1" s="39">
      <c r="C947" s="8" t="n"/>
    </row>
    <row r="948" ht="15.75" customHeight="1" s="39">
      <c r="C948" s="8" t="n"/>
    </row>
    <row r="949" ht="15.75" customHeight="1" s="39">
      <c r="C949" s="8" t="n"/>
    </row>
    <row r="950" ht="15.75" customHeight="1" s="39">
      <c r="C950" s="8" t="n"/>
    </row>
    <row r="951" ht="15.75" customHeight="1" s="39">
      <c r="C951" s="8" t="n"/>
    </row>
    <row r="952" ht="15.75" customHeight="1" s="39">
      <c r="C952" s="8" t="n"/>
    </row>
    <row r="953" ht="15.75" customHeight="1" s="39">
      <c r="C953" s="8" t="n"/>
    </row>
    <row r="954" ht="15.75" customHeight="1" s="39">
      <c r="C954" s="8" t="n"/>
    </row>
    <row r="955" ht="15.75" customHeight="1" s="39">
      <c r="C955" s="8" t="n"/>
    </row>
    <row r="956" ht="15.75" customHeight="1" s="39">
      <c r="C956" s="8" t="n"/>
    </row>
    <row r="957" ht="15.75" customHeight="1" s="39">
      <c r="C957" s="8" t="n"/>
    </row>
    <row r="958" ht="15.75" customHeight="1" s="39">
      <c r="C958" s="8" t="n"/>
    </row>
    <row r="959" ht="15.75" customHeight="1" s="39">
      <c r="C959" s="8" t="n"/>
    </row>
    <row r="960" ht="15.75" customHeight="1" s="39">
      <c r="C960" s="8" t="n"/>
    </row>
    <row r="961" ht="15.75" customHeight="1" s="39">
      <c r="C961" s="8" t="n"/>
    </row>
    <row r="962" ht="15.75" customHeight="1" s="39">
      <c r="C962" s="8" t="n"/>
    </row>
    <row r="963" ht="15.75" customHeight="1" s="39">
      <c r="C963" s="8" t="n"/>
    </row>
    <row r="964" ht="15.75" customHeight="1" s="39">
      <c r="C964" s="8" t="n"/>
    </row>
    <row r="965" ht="15.75" customHeight="1" s="39">
      <c r="C965" s="8" t="n"/>
    </row>
    <row r="966" ht="15.75" customHeight="1" s="39">
      <c r="C966" s="8" t="n"/>
    </row>
    <row r="967" ht="15.75" customHeight="1" s="39">
      <c r="C967" s="8" t="n"/>
    </row>
    <row r="968" ht="15.75" customHeight="1" s="39">
      <c r="C968" s="8" t="n"/>
    </row>
    <row r="969" ht="15.75" customHeight="1" s="39">
      <c r="C969" s="8" t="n"/>
    </row>
    <row r="970" ht="15.75" customHeight="1" s="39">
      <c r="C970" s="8" t="n"/>
    </row>
    <row r="971" ht="15.75" customHeight="1" s="39">
      <c r="C971" s="8" t="n"/>
    </row>
    <row r="972" ht="15.75" customHeight="1" s="39">
      <c r="C972" s="8" t="n"/>
    </row>
    <row r="973" ht="15.75" customHeight="1" s="39">
      <c r="C973" s="8" t="n"/>
    </row>
    <row r="974" ht="15.75" customHeight="1" s="39">
      <c r="C974" s="8" t="n"/>
    </row>
    <row r="975" ht="15.75" customHeight="1" s="39">
      <c r="C975" s="8" t="n"/>
    </row>
    <row r="976" ht="15.75" customHeight="1" s="39">
      <c r="C976" s="8" t="n"/>
    </row>
    <row r="977" ht="15.75" customHeight="1" s="39">
      <c r="C977" s="8" t="n"/>
    </row>
    <row r="978" ht="15.75" customHeight="1" s="39">
      <c r="C978" s="8" t="n"/>
    </row>
    <row r="979" ht="15.75" customHeight="1" s="39">
      <c r="C979" s="8" t="n"/>
    </row>
    <row r="980" ht="15.75" customHeight="1" s="39">
      <c r="C980" s="8" t="n"/>
    </row>
    <row r="981" ht="15.75" customHeight="1" s="39">
      <c r="C981" s="8" t="n"/>
    </row>
    <row r="982" ht="15.75" customHeight="1" s="39">
      <c r="C982" s="8" t="n"/>
    </row>
    <row r="983" ht="15.75" customHeight="1" s="39">
      <c r="C983" s="8" t="n"/>
    </row>
    <row r="984" ht="15.75" customHeight="1" s="39">
      <c r="C984" s="8" t="n"/>
    </row>
    <row r="985" ht="15.75" customHeight="1" s="39">
      <c r="C985" s="8" t="n"/>
    </row>
    <row r="986" ht="15.75" customHeight="1" s="39">
      <c r="C986" s="8" t="n"/>
    </row>
    <row r="987" ht="15.75" customHeight="1" s="39">
      <c r="C987" s="8" t="n"/>
    </row>
    <row r="988" ht="15.75" customHeight="1" s="39">
      <c r="C988" s="8" t="n"/>
    </row>
    <row r="989" ht="15.75" customHeight="1" s="39">
      <c r="C989" s="8" t="n"/>
    </row>
    <row r="990" ht="15.75" customHeight="1" s="39">
      <c r="C990" s="8" t="n"/>
    </row>
    <row r="991" ht="15.75" customHeight="1" s="39">
      <c r="C991" s="8" t="n"/>
    </row>
    <row r="992" ht="15.75" customHeight="1" s="39">
      <c r="C992" s="8" t="n"/>
    </row>
    <row r="993" ht="15.75" customHeight="1" s="39">
      <c r="C993" s="8" t="n"/>
    </row>
    <row r="994" ht="15.75" customHeight="1" s="39">
      <c r="C994" s="8" t="n"/>
    </row>
    <row r="995" ht="15.75" customHeight="1" s="39">
      <c r="C995" s="8" t="n"/>
    </row>
    <row r="996" ht="15.75" customHeight="1" s="39">
      <c r="C996" s="8" t="n"/>
    </row>
    <row r="997" ht="15.75" customHeight="1" s="39">
      <c r="C997" s="8" t="n"/>
    </row>
    <row r="998" ht="15.75" customHeight="1" s="39">
      <c r="C998" s="8" t="n"/>
    </row>
    <row r="999" ht="15.75" customHeight="1" s="39">
      <c r="C999" s="8" t="n"/>
    </row>
    <row r="1000" ht="15.75" customHeight="1" s="39">
      <c r="C1000" s="8" t="n"/>
    </row>
  </sheetData>
  <mergeCells count="1">
    <mergeCell ref="A1:K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ColWidth="14.42578125" defaultRowHeight="15" customHeight="1"/>
  <cols>
    <col width="18" customWidth="1" style="39" min="1" max="6"/>
    <col width="8.7109375" customWidth="1" style="39" min="7" max="26"/>
  </cols>
  <sheetData>
    <row r="1">
      <c r="A1" s="55" t="inlineStr">
        <is>
          <t>TARGET SESSIONS:</t>
        </is>
      </c>
    </row>
    <row r="2">
      <c r="A2" s="31" t="inlineStr">
        <is>
          <t>BURNDOWN CHART DATA</t>
        </is>
      </c>
    </row>
    <row r="3">
      <c r="A3" s="31" t="inlineStr">
        <is>
          <t>Session #</t>
        </is>
      </c>
      <c r="B3" s="31" t="inlineStr">
        <is>
          <t>Sprint</t>
        </is>
      </c>
      <c r="C3" s="31" t="inlineStr">
        <is>
          <t>IDEAL
Stories Remaining</t>
        </is>
      </c>
      <c r="D3" s="31" t="inlineStr">
        <is>
          <t>ACTUAL
Stories Remaining</t>
        </is>
      </c>
      <c r="E3" s="31" t="inlineStr">
        <is>
          <t>Variance</t>
        </is>
      </c>
      <c r="F3" s="31" t="inlineStr">
        <is>
          <t>Status</t>
        </is>
      </c>
    </row>
    <row r="4">
      <c r="A4" s="38" t="n">
        <v>0</v>
      </c>
      <c r="B4" s="38" t="n">
        <v>1</v>
      </c>
      <c r="C4" s="28">
        <f>DASHBOARD!$C$7</f>
        <v/>
      </c>
      <c r="D4" s="38">
        <f>DASHBOARD!$C$7</f>
        <v/>
      </c>
      <c r="E4" s="38" t="n">
        <v>0</v>
      </c>
      <c r="F4" s="38" t="inlineStr">
        <is>
          <t>Start</t>
        </is>
      </c>
    </row>
    <row r="5">
      <c r="A5" s="38">
        <f t="array" ref="A4">INDEX('SESSION LOG'!A:A,3)</f>
        <v/>
      </c>
      <c r="B5" s="38">
        <f t="array" ref="B4">INDEX('SESSION LOG'!B:B,3)</f>
        <v/>
      </c>
      <c r="C5" s="28">
        <f>DASHBOARD!$C$7-(DASHBOARD!$C$7/$B$1)*(1)</f>
        <v/>
      </c>
      <c r="D5" s="38">
        <f t="array" ref="D4">INDEX('SESSION LOG'!H:H,3)</f>
        <v/>
      </c>
      <c r="E5" s="28">
        <f>D4-C4</f>
        <v/>
      </c>
      <c r="F5" s="38">
        <f>IF(E4&gt;=0,"🟢",IF(E4&gt;=-5,"🟡","🔴"))</f>
        <v/>
      </c>
    </row>
    <row r="6">
      <c r="A6" s="38">
        <f t="array" ref="A5">INDEX('SESSION LOG'!A:A,4)</f>
        <v/>
      </c>
      <c r="B6" s="38">
        <f t="array" ref="B5">INDEX('SESSION LOG'!B:B,4)</f>
        <v/>
      </c>
      <c r="C6" s="28">
        <f>DASHBOARD!$C$7-(DASHBOARD!$C$7/$B$1)*(2)</f>
        <v/>
      </c>
      <c r="D6" s="38">
        <f t="array" ref="D5">INDEX('SESSION LOG'!H:H,4)</f>
        <v/>
      </c>
      <c r="E6" s="28">
        <f>D5-C5</f>
        <v/>
      </c>
      <c r="F6" s="38">
        <f>IF(E5&gt;=0,"🟢",IF(E5&gt;=-5,"🟡","🔴"))</f>
        <v/>
      </c>
    </row>
    <row r="7">
      <c r="A7" s="38">
        <f t="array" ref="A6">INDEX('SESSION LOG'!A:A,5)</f>
        <v/>
      </c>
      <c r="B7" s="38">
        <f t="array" ref="B6">INDEX('SESSION LOG'!B:B,5)</f>
        <v/>
      </c>
      <c r="C7" s="28">
        <f>DASHBOARD!$C$7-(DASHBOARD!$C$7/$B$1)*(3)</f>
        <v/>
      </c>
      <c r="D7" s="38">
        <f t="array" ref="D6">INDEX('SESSION LOG'!H:H,5)</f>
        <v/>
      </c>
      <c r="E7" s="28">
        <f>D6-C6</f>
        <v/>
      </c>
      <c r="F7" s="38">
        <f>IF(E6&gt;=0,"🟢",IF(E6&gt;=-5,"🟡","🔴"))</f>
        <v/>
      </c>
    </row>
    <row r="8">
      <c r="A8" s="38">
        <f t="array" ref="A7">INDEX('SESSION LOG'!A:A,6)</f>
        <v/>
      </c>
      <c r="B8" s="38">
        <f t="array" ref="B7">INDEX('SESSION LOG'!B:B,6)</f>
        <v/>
      </c>
      <c r="C8" s="28">
        <f>DASHBOARD!$C$7-(DASHBOARD!$C$7/$B$1)*(4)</f>
        <v/>
      </c>
      <c r="D8" s="38">
        <f t="array" ref="D7">INDEX('SESSION LOG'!H:H,6)</f>
        <v/>
      </c>
      <c r="E8" s="28">
        <f>D7-C7</f>
        <v/>
      </c>
      <c r="F8" s="38">
        <f>IF(E7&gt;=0,"🟢",IF(E7&gt;=-5,"🟡","🔴"))</f>
        <v/>
      </c>
    </row>
    <row r="9">
      <c r="A9" s="38">
        <f t="array" ref="A8">INDEX('SESSION LOG'!A:A,7)</f>
        <v/>
      </c>
      <c r="B9" s="38">
        <f t="array" ref="B8">INDEX('SESSION LOG'!B:B,7)</f>
        <v/>
      </c>
      <c r="C9" s="28">
        <f>DASHBOARD!$C$7-(DASHBOARD!$C$7/$B$1)*(5)</f>
        <v/>
      </c>
      <c r="D9" s="38">
        <f t="array" ref="D8">INDEX('SESSION LOG'!H:H,7)</f>
        <v/>
      </c>
      <c r="E9" s="28">
        <f>D8-C8</f>
        <v/>
      </c>
      <c r="F9" s="38">
        <f>IF(E8&gt;=0,"🟢",IF(E8&gt;=-5,"🟡","🔴"))</f>
        <v/>
      </c>
    </row>
    <row r="10">
      <c r="A10" s="38">
        <f t="array" ref="A9">INDEX('SESSION LOG'!A:A,8)</f>
        <v/>
      </c>
      <c r="B10" s="38">
        <f t="array" ref="B9">INDEX('SESSION LOG'!B:B,8)</f>
        <v/>
      </c>
      <c r="C10" s="28">
        <f>DASHBOARD!$C$7-(DASHBOARD!$C$7/$B$1)*(6)</f>
        <v/>
      </c>
      <c r="D10" s="38">
        <f t="array" ref="D9">INDEX('SESSION LOG'!H:H,8)</f>
        <v/>
      </c>
      <c r="E10" s="28">
        <f>D9-C9</f>
        <v/>
      </c>
      <c r="F10" s="38">
        <f>IF(E9&gt;=0,"🟢",IF(E9&gt;=-5,"🟡","🔴"))</f>
        <v/>
      </c>
    </row>
    <row r="11">
      <c r="A11" s="38">
        <f t="array" ref="A10">INDEX('SESSION LOG'!A:A,9)</f>
        <v/>
      </c>
      <c r="B11" s="38">
        <f t="array" ref="B10">INDEX('SESSION LOG'!B:B,9)</f>
        <v/>
      </c>
      <c r="C11" s="28">
        <f>DASHBOARD!$C$7-(DASHBOARD!$C$7/$B$1)*(7)</f>
        <v/>
      </c>
      <c r="D11" s="38">
        <f t="array" ref="D10">INDEX('SESSION LOG'!H:H,9)</f>
        <v/>
      </c>
      <c r="E11" s="28">
        <f>D10-C10</f>
        <v/>
      </c>
      <c r="F11" s="38">
        <f>IF(E10&gt;=0,"🟢",IF(E10&gt;=-5,"🟡","🔴"))</f>
        <v/>
      </c>
    </row>
    <row r="12">
      <c r="A12" s="38">
        <f t="array" ref="A11">INDEX('SESSION LOG'!A:A,10)</f>
        <v/>
      </c>
      <c r="B12" s="38">
        <f t="array" ref="B11">INDEX('SESSION LOG'!B:B,10)</f>
        <v/>
      </c>
      <c r="C12" s="28">
        <f>DASHBOARD!$C$7-(DASHBOARD!$C$7/$B$1)*(8)</f>
        <v/>
      </c>
      <c r="D12" s="38">
        <f t="array" ref="D11">INDEX('SESSION LOG'!H:H,10)</f>
        <v/>
      </c>
      <c r="E12" s="28">
        <f>D11-C11</f>
        <v/>
      </c>
      <c r="F12" s="38">
        <f>IF(E11&gt;=0,"🟢",IF(E11&gt;=-5,"🟡","🔴"))</f>
        <v/>
      </c>
    </row>
    <row r="13">
      <c r="A13" s="38">
        <f t="array" ref="A12">INDEX('SESSION LOG'!A:A,11)</f>
        <v/>
      </c>
      <c r="B13" s="38">
        <f t="array" ref="B12">INDEX('SESSION LOG'!B:B,11)</f>
        <v/>
      </c>
      <c r="C13" s="28">
        <f>DASHBOARD!$C$7-(DASHBOARD!$C$7/$B$1)*(9)</f>
        <v/>
      </c>
      <c r="D13" s="38">
        <f t="array" ref="D12">INDEX('SESSION LOG'!H:H,11)</f>
        <v/>
      </c>
      <c r="E13" s="28">
        <f>D12-C12</f>
        <v/>
      </c>
      <c r="F13" s="38">
        <f>IF(E12&gt;=0,"🟢",IF(E12&gt;=-5,"🟡","🔴"))</f>
        <v/>
      </c>
    </row>
    <row r="14">
      <c r="A14" s="38">
        <f t="array" ref="A13">INDEX('SESSION LOG'!A:A,12)</f>
        <v/>
      </c>
      <c r="B14" s="38">
        <f t="array" ref="B13">INDEX('SESSION LOG'!B:B,12)</f>
        <v/>
      </c>
      <c r="C14" s="28">
        <f>DASHBOARD!$C$7-(DASHBOARD!$C$7/$B$1)*(10)</f>
        <v/>
      </c>
      <c r="D14" s="38">
        <f t="array" ref="D13">INDEX('SESSION LOG'!H:H,12)</f>
        <v/>
      </c>
      <c r="E14" s="28">
        <f>D13-C13</f>
        <v/>
      </c>
      <c r="F14" s="38">
        <f>IF(E13&gt;=0,"🟢",IF(E13&gt;=-5,"🟡","🔴"))</f>
        <v/>
      </c>
    </row>
    <row r="15">
      <c r="A15" s="38">
        <f t="array" ref="A14">INDEX('SESSION LOG'!A:A,13)</f>
        <v/>
      </c>
      <c r="B15" s="38">
        <f t="array" ref="B14">INDEX('SESSION LOG'!B:B,13)</f>
        <v/>
      </c>
      <c r="C15" s="28">
        <f>DASHBOARD!$C$7-(DASHBOARD!$C$7/$B$1)*(11)</f>
        <v/>
      </c>
      <c r="D15" s="38">
        <f t="array" ref="D14">INDEX('SESSION LOG'!H:H,13)</f>
        <v/>
      </c>
      <c r="E15" s="28">
        <f>D14-C14</f>
        <v/>
      </c>
      <c r="F15" s="38">
        <f>IF(E14&gt;=0,"🟢",IF(E14&gt;=-5,"🟡","🔴"))</f>
        <v/>
      </c>
    </row>
    <row r="16">
      <c r="A16" s="38">
        <f t="array" ref="A15">INDEX('SESSION LOG'!A:A,14)</f>
        <v/>
      </c>
      <c r="B16" s="38">
        <f t="array" ref="B15">INDEX('SESSION LOG'!B:B,14)</f>
        <v/>
      </c>
      <c r="C16" s="28">
        <f>DASHBOARD!$C$7-(DASHBOARD!$C$7/$B$1)*(12)</f>
        <v/>
      </c>
      <c r="D16" s="38">
        <f t="array" ref="D15">INDEX('SESSION LOG'!H:H,14)</f>
        <v/>
      </c>
      <c r="E16" s="28">
        <f>D15-C15</f>
        <v/>
      </c>
      <c r="F16" s="38">
        <f>IF(E15&gt;=0,"🟢",IF(E15&gt;=-5,"🟡","🔴"))</f>
        <v/>
      </c>
    </row>
    <row r="17">
      <c r="A17" s="38">
        <f t="array" ref="A16">INDEX('SESSION LOG'!A:A,15)</f>
        <v/>
      </c>
      <c r="B17" s="38">
        <f t="array" ref="B16">INDEX('SESSION LOG'!B:B,15)</f>
        <v/>
      </c>
      <c r="C17" s="28">
        <f>DASHBOARD!$C$7-(DASHBOARD!$C$7/$B$1)*(13)</f>
        <v/>
      </c>
      <c r="D17" s="38">
        <f t="array" ref="D16">INDEX('SESSION LOG'!H:H,15)</f>
        <v/>
      </c>
      <c r="E17" s="28">
        <f>D16-C16</f>
        <v/>
      </c>
      <c r="F17" s="38">
        <f>IF(E16&gt;=0,"🟢",IF(E16&gt;=-5,"🟡","🔴"))</f>
        <v/>
      </c>
    </row>
    <row r="18">
      <c r="A18" s="38">
        <f t="array" ref="A17">INDEX('SESSION LOG'!A:A,16)</f>
        <v/>
      </c>
      <c r="B18" s="38">
        <f t="array" ref="B17">INDEX('SESSION LOG'!B:B,16)</f>
        <v/>
      </c>
      <c r="C18" s="28">
        <f>DASHBOARD!$C$7-(DASHBOARD!$C$7/$B$1)*(14)</f>
        <v/>
      </c>
      <c r="D18" s="38">
        <f t="array" ref="D17">INDEX('SESSION LOG'!H:H,16)</f>
        <v/>
      </c>
      <c r="E18" s="28">
        <f>D17-C17</f>
        <v/>
      </c>
      <c r="F18" s="38">
        <f>IF(E17&gt;=0,"🟢",IF(E17&gt;=-5,"🟡","🔴"))</f>
        <v/>
      </c>
    </row>
    <row r="19">
      <c r="A19" s="38">
        <f t="array" ref="A18">INDEX('SESSION LOG'!A:A,17)</f>
        <v/>
      </c>
      <c r="B19" s="38">
        <f t="array" ref="B18">INDEX('SESSION LOG'!B:B,17)</f>
        <v/>
      </c>
      <c r="C19" s="28">
        <f>DASHBOARD!$C$7-(DASHBOARD!$C$7/$B$1)*(15)</f>
        <v/>
      </c>
      <c r="D19" s="38">
        <f t="array" ref="D18">INDEX('SESSION LOG'!H:H,17)</f>
        <v/>
      </c>
      <c r="E19" s="28">
        <f>D18-C18</f>
        <v/>
      </c>
      <c r="F19" s="38">
        <f>IF(E18&gt;=0,"🟢",IF(E18&gt;=-5,"🟡","🔴"))</f>
        <v/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">
    <mergeCell ref="A1:F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ColWidth="14.42578125" defaultRowHeight="15" customHeight="1"/>
  <cols>
    <col width="12" customWidth="1" style="39" min="1" max="1"/>
    <col width="25" customWidth="1" style="39" min="2" max="2"/>
    <col width="12" customWidth="1" style="39" min="3" max="3"/>
    <col width="8" customWidth="1" style="39" min="4" max="6"/>
    <col width="12" customWidth="1" style="39" min="7" max="8"/>
    <col width="14" customWidth="1" style="39" min="9" max="9"/>
    <col width="12" customWidth="1" style="39" min="10" max="26"/>
    <col width="15" customWidth="1" style="39" min="11" max="11"/>
    <col width="12" customWidth="1" style="39" min="12" max="12"/>
    <col width="15" customWidth="1" style="39" min="13" max="13"/>
  </cols>
  <sheetData>
    <row r="1">
      <c r="A1" s="31" t="inlineStr">
        <is>
          <t>EPIC PROGRESS - Auto-calculated from JIRA DATA</t>
        </is>
      </c>
    </row>
    <row r="2">
      <c r="A2" s="31" t="inlineStr">
        <is>
          <t>Epic ID</t>
        </is>
      </c>
      <c r="B2" s="31" t="inlineStr">
        <is>
          <t>Epic Name</t>
        </is>
      </c>
      <c r="C2" s="31" t="inlineStr">
        <is>
          <t>Total</t>
        </is>
      </c>
      <c r="D2" s="31" t="inlineStr">
        <is>
          <t>Open</t>
        </is>
      </c>
      <c r="E2" s="31" t="inlineStr">
        <is>
          <t>Ready</t>
        </is>
      </c>
      <c r="F2" s="31" t="inlineStr">
        <is>
          <t>Other</t>
        </is>
      </c>
      <c r="G2" s="29" t="inlineStr">
        <is>
          <t>% Complete</t>
        </is>
      </c>
      <c r="H2" s="31" t="inlineStr">
        <is>
          <t>Priority</t>
        </is>
      </c>
      <c r="I2" s="31" t="inlineStr">
        <is>
          <t>Sprint</t>
        </is>
      </c>
      <c r="J2" s="47" t="inlineStr">
        <is>
          <t>PI Filter</t>
        </is>
      </c>
      <c r="K2" s="47" t="inlineStr">
        <is>
          <t>Refined in PI</t>
        </is>
      </c>
      <c r="L2" s="47" t="inlineStr">
        <is>
          <t>Total in PI</t>
        </is>
      </c>
      <c r="M2" s="47" t="inlineStr">
        <is>
          <t>PI Progress</t>
        </is>
      </c>
    </row>
    <row r="3">
      <c r="A3" t="inlineStr">
        <is>
          <t>App Menu</t>
        </is>
      </c>
      <c r="B3" t="inlineStr">
        <is>
          <t>App Menu</t>
        </is>
      </c>
      <c r="C3">
        <f>COUNTIF('JIRA DATA'!F:F,A3)</f>
        <v/>
      </c>
      <c r="D3">
        <f>COUNTIFS('JIRA DATA'!F:F,A3,'JIRA DATA'!E:E,"Open")</f>
        <v/>
      </c>
      <c r="E3">
        <f>COUNTIFS('JIRA DATA'!F:F,A3,'JIRA DATA'!E:E,"Ready")</f>
        <v/>
      </c>
      <c r="F3">
        <f>C3-D3-E3</f>
        <v/>
      </c>
      <c r="G3" s="48">
        <f>IF(C3=0,0,E3/C3)</f>
        <v/>
      </c>
      <c r="L3">
        <f>IF(K3="","-",COUNTIFS('JIRA DATA'!F:F,A3,'JIRA DATA'!J:J,K3,'JIRA DATA'!E:E,"Ready"))</f>
        <v/>
      </c>
      <c r="M3">
        <f>IF(K3="","-",COUNTIFS('JIRA DATA'!F:F,A3,'JIRA DATA'!J:J,K3))</f>
        <v/>
      </c>
      <c r="N3">
        <f>IF(K3="","-",L3&amp;"/"&amp;M3)</f>
        <v/>
      </c>
    </row>
    <row r="4">
      <c r="A4" t="inlineStr">
        <is>
          <t>Data Exchange w/FMC</t>
        </is>
      </c>
      <c r="B4" t="inlineStr">
        <is>
          <t>Data Exchange w/FMC</t>
        </is>
      </c>
      <c r="C4">
        <f>COUNTIF('JIRA DATA'!F:F,A4)</f>
        <v/>
      </c>
      <c r="D4">
        <f>COUNTIFS('JIRA DATA'!F:F,A4,'JIRA DATA'!E:E,"Open")</f>
        <v/>
      </c>
      <c r="E4">
        <f>COUNTIFS('JIRA DATA'!F:F,A4,'JIRA DATA'!E:E,"Ready")</f>
        <v/>
      </c>
      <c r="F4">
        <f>C4-D4-E4</f>
        <v/>
      </c>
      <c r="G4" s="48">
        <f>IF(C4=0,0,E4/C4)</f>
        <v/>
      </c>
      <c r="M4">
        <f>IF(L4="","-",COUNTIFS('JIRA DATA'!F:F,A4,'JIRA DATA'!J:J,L4,'JIRA DATA'!E:E,"Ready"))</f>
        <v/>
      </c>
      <c r="N4">
        <f>IF(L4="","-",COUNTIFS('JIRA DATA'!F:F,A4,'JIRA DATA'!J:J,L4))</f>
        <v/>
      </c>
      <c r="O4">
        <f>IF(L4="","-",M4&amp;"/"&amp;N4)</f>
        <v/>
      </c>
    </row>
    <row r="5">
      <c r="A5" t="inlineStr">
        <is>
          <t>Departure Declaration</t>
        </is>
      </c>
      <c r="B5" t="inlineStr">
        <is>
          <t>Departure Declaration</t>
        </is>
      </c>
      <c r="C5">
        <f>COUNTIF('JIRA DATA'!F:F,A5)</f>
        <v/>
      </c>
      <c r="D5">
        <f>COUNTIFS('JIRA DATA'!F:F,A5,'JIRA DATA'!E:E,"Open")</f>
        <v/>
      </c>
      <c r="E5">
        <f>COUNTIFS('JIRA DATA'!F:F,A5,'JIRA DATA'!E:E,"Ready")</f>
        <v/>
      </c>
      <c r="F5">
        <f>C5-D5-E5</f>
        <v/>
      </c>
      <c r="G5" s="48">
        <f>IF(C5=0,0,E5/C5)</f>
        <v/>
      </c>
      <c r="N5">
        <f>IF(M5="","-",COUNTIFS('JIRA DATA'!F:F,A5,'JIRA DATA'!J:J,M5,'JIRA DATA'!E:E,"Ready"))</f>
        <v/>
      </c>
      <c r="O5">
        <f>IF(M5="","-",COUNTIFS('JIRA DATA'!F:F,A5,'JIRA DATA'!J:J,M5))</f>
        <v/>
      </c>
      <c r="P5">
        <f>IF(M5="","-",N5&amp;"/"&amp;O5)</f>
        <v/>
      </c>
    </row>
    <row r="6">
      <c r="A6" t="inlineStr">
        <is>
          <t>Gear Management</t>
        </is>
      </c>
      <c r="B6" t="inlineStr">
        <is>
          <t>Gear Management</t>
        </is>
      </c>
      <c r="C6">
        <f>COUNTIF('JIRA DATA'!F:F,A6)</f>
        <v/>
      </c>
      <c r="D6">
        <f>COUNTIFS('JIRA DATA'!F:F,A6,'JIRA DATA'!E:E,"Open")</f>
        <v/>
      </c>
      <c r="E6">
        <f>COUNTIFS('JIRA DATA'!F:F,A6,'JIRA DATA'!E:E,"Ready")</f>
        <v/>
      </c>
      <c r="F6">
        <f>C6-D6-E6</f>
        <v/>
      </c>
      <c r="G6" s="48">
        <f>IF(C6=0,0,E6/C6)</f>
        <v/>
      </c>
      <c r="O6">
        <f>IF(N6="","-",COUNTIFS('JIRA DATA'!F:F,A6,'JIRA DATA'!J:J,N6,'JIRA DATA'!E:E,"Ready"))</f>
        <v/>
      </c>
      <c r="P6">
        <f>IF(N6="","-",COUNTIFS('JIRA DATA'!F:F,A6,'JIRA DATA'!J:J,N6))</f>
        <v/>
      </c>
      <c r="Q6">
        <f>IF(N6="","-",O6&amp;"/"&amp;P6)</f>
        <v/>
      </c>
    </row>
    <row r="7">
      <c r="A7" t="inlineStr">
        <is>
          <t>Hauls</t>
        </is>
      </c>
      <c r="B7" t="inlineStr">
        <is>
          <t>Hauls</t>
        </is>
      </c>
      <c r="C7">
        <f>COUNTIF('JIRA DATA'!F:F,A7)</f>
        <v/>
      </c>
      <c r="D7">
        <f>COUNTIFS('JIRA DATA'!F:F,A7,'JIRA DATA'!E:E,"Open")</f>
        <v/>
      </c>
      <c r="E7">
        <f>COUNTIFS('JIRA DATA'!F:F,A7,'JIRA DATA'!E:E,"Ready")</f>
        <v/>
      </c>
      <c r="F7">
        <f>C7-D7-E7</f>
        <v/>
      </c>
      <c r="G7" s="48">
        <f>IF(C7=0,0,E7/C7)</f>
        <v/>
      </c>
      <c r="P7">
        <f>IF(O7="","-",COUNTIFS('JIRA DATA'!F:F,A7,'JIRA DATA'!J:J,O7,'JIRA DATA'!E:E,"Ready"))</f>
        <v/>
      </c>
      <c r="Q7">
        <f>IF(O7="","-",COUNTIFS('JIRA DATA'!F:F,A7,'JIRA DATA'!J:J,O7))</f>
        <v/>
      </c>
      <c r="R7">
        <f>IF(O7="","-",P7&amp;"/"&amp;Q7)</f>
        <v/>
      </c>
    </row>
    <row r="8">
      <c r="A8" t="inlineStr">
        <is>
          <t>Home Screen</t>
        </is>
      </c>
      <c r="B8" t="inlineStr">
        <is>
          <t>Home Screen</t>
        </is>
      </c>
      <c r="C8">
        <f>COUNTIF('JIRA DATA'!F:F,A8)</f>
        <v/>
      </c>
      <c r="D8">
        <f>COUNTIFS('JIRA DATA'!F:F,A8,'JIRA DATA'!E:E,"Open")</f>
        <v/>
      </c>
      <c r="E8">
        <f>COUNTIFS('JIRA DATA'!F:F,A8,'JIRA DATA'!E:E,"Ready")</f>
        <v/>
      </c>
      <c r="F8">
        <f>C8-D8-E8</f>
        <v/>
      </c>
      <c r="G8" s="48">
        <f>IF(C8=0,0,E8/C8)</f>
        <v/>
      </c>
      <c r="Q8">
        <f>IF(P8="","-",COUNTIFS('JIRA DATA'!F:F,A8,'JIRA DATA'!J:J,P8,'JIRA DATA'!E:E,"Ready"))</f>
        <v/>
      </c>
      <c r="R8">
        <f>IF(P8="","-",COUNTIFS('JIRA DATA'!F:F,A8,'JIRA DATA'!J:J,P8))</f>
        <v/>
      </c>
      <c r="S8">
        <f>IF(P8="","-",Q8&amp;"/"&amp;R8)</f>
        <v/>
      </c>
    </row>
    <row r="9">
      <c r="A9" t="inlineStr">
        <is>
          <t>INFRA</t>
        </is>
      </c>
      <c r="B9" t="inlineStr">
        <is>
          <t>INFRA</t>
        </is>
      </c>
      <c r="C9">
        <f>COUNTIF('JIRA DATA'!F:F,A9)</f>
        <v/>
      </c>
      <c r="D9">
        <f>COUNTIFS('JIRA DATA'!F:F,A9,'JIRA DATA'!E:E,"Open")</f>
        <v/>
      </c>
      <c r="E9">
        <f>COUNTIFS('JIRA DATA'!F:F,A9,'JIRA DATA'!E:E,"Ready")</f>
        <v/>
      </c>
      <c r="F9">
        <f>C9-D9-E9</f>
        <v/>
      </c>
      <c r="G9" s="48">
        <f>IF(C9=0,0,E9/C9)</f>
        <v/>
      </c>
      <c r="R9">
        <f>IF(Q9="","-",COUNTIFS('JIRA DATA'!F:F,A9,'JIRA DATA'!J:J,Q9,'JIRA DATA'!E:E,"Ready"))</f>
        <v/>
      </c>
      <c r="S9">
        <f>IF(Q9="","-",COUNTIFS('JIRA DATA'!F:F,A9,'JIRA DATA'!J:J,Q9))</f>
        <v/>
      </c>
      <c r="T9">
        <f>IF(Q9="","-",R9&amp;"/"&amp;S9)</f>
        <v/>
      </c>
    </row>
    <row r="10">
      <c r="A10" t="inlineStr">
        <is>
          <t>Language Management</t>
        </is>
      </c>
      <c r="B10" t="inlineStr">
        <is>
          <t>Language Management</t>
        </is>
      </c>
      <c r="C10">
        <f>COUNTIF('JIRA DATA'!F:F,A10)</f>
        <v/>
      </c>
      <c r="D10">
        <f>COUNTIFS('JIRA DATA'!F:F,A10,'JIRA DATA'!E:E,"Open")</f>
        <v/>
      </c>
      <c r="E10">
        <f>COUNTIFS('JIRA DATA'!F:F,A10,'JIRA DATA'!E:E,"Ready")</f>
        <v/>
      </c>
      <c r="F10">
        <f>C10-D10-E10</f>
        <v/>
      </c>
      <c r="G10" s="48">
        <f>IF(C10=0,0,E10/C10)</f>
        <v/>
      </c>
      <c r="S10">
        <f>IF(R10="","-",COUNTIFS('JIRA DATA'!F:F,A10,'JIRA DATA'!J:J,R10,'JIRA DATA'!E:E,"Ready"))</f>
        <v/>
      </c>
      <c r="T10">
        <f>IF(R10="","-",COUNTIFS('JIRA DATA'!F:F,A10,'JIRA DATA'!J:J,R10))</f>
        <v/>
      </c>
      <c r="U10">
        <f>IF(R10="","-",S10&amp;"/"&amp;T10)</f>
        <v/>
      </c>
    </row>
    <row r="11">
      <c r="A11" t="inlineStr">
        <is>
          <t>Login</t>
        </is>
      </c>
      <c r="B11" t="inlineStr">
        <is>
          <t>Login</t>
        </is>
      </c>
      <c r="C11">
        <f>COUNTIF('JIRA DATA'!F:F,A11)</f>
        <v/>
      </c>
      <c r="D11">
        <f>COUNTIFS('JIRA DATA'!F:F,A11,'JIRA DATA'!E:E,"Open")</f>
        <v/>
      </c>
      <c r="E11">
        <f>COUNTIFS('JIRA DATA'!F:F,A11,'JIRA DATA'!E:E,"Ready")</f>
        <v/>
      </c>
      <c r="F11">
        <f>C11-D11-E11</f>
        <v/>
      </c>
      <c r="G11" s="48">
        <f>IF(C11=0,0,E11/C11)</f>
        <v/>
      </c>
      <c r="T11">
        <f>IF(S11="","-",COUNTIFS('JIRA DATA'!F:F,A11,'JIRA DATA'!J:J,S11,'JIRA DATA'!E:E,"Ready"))</f>
        <v/>
      </c>
      <c r="U11">
        <f>IF(S11="","-",COUNTIFS('JIRA DATA'!F:F,A11,'JIRA DATA'!J:J,S11))</f>
        <v/>
      </c>
      <c r="V11">
        <f>IF(S11="","-",T11&amp;"/"&amp;U11)</f>
        <v/>
      </c>
    </row>
    <row r="12">
      <c r="A12" t="inlineStr">
        <is>
          <t>Logs</t>
        </is>
      </c>
      <c r="B12" t="inlineStr">
        <is>
          <t>Logs</t>
        </is>
      </c>
      <c r="C12">
        <f>COUNTIF('JIRA DATA'!F:F,A12)</f>
        <v/>
      </c>
      <c r="D12">
        <f>COUNTIFS('JIRA DATA'!F:F,A12,'JIRA DATA'!E:E,"Open")</f>
        <v/>
      </c>
      <c r="E12">
        <f>COUNTIFS('JIRA DATA'!F:F,A12,'JIRA DATA'!E:E,"Ready")</f>
        <v/>
      </c>
      <c r="F12">
        <f>C12-D12-E12</f>
        <v/>
      </c>
      <c r="G12" s="48">
        <f>IF(C12=0,0,E12/C12)</f>
        <v/>
      </c>
      <c r="U12">
        <f>IF(T12="","-",COUNTIFS('JIRA DATA'!F:F,A12,'JIRA DATA'!J:J,T12,'JIRA DATA'!E:E,"Ready"))</f>
        <v/>
      </c>
      <c r="V12">
        <f>IF(T12="","-",COUNTIFS('JIRA DATA'!F:F,A12,'JIRA DATA'!J:J,T12))</f>
        <v/>
      </c>
      <c r="W12">
        <f>IF(T12="","-",U12&amp;"/"&amp;V12)</f>
        <v/>
      </c>
    </row>
    <row r="13">
      <c r="A13" t="inlineStr">
        <is>
          <t>Map Integrations</t>
        </is>
      </c>
      <c r="B13" t="inlineStr">
        <is>
          <t>Map Integrations</t>
        </is>
      </c>
      <c r="C13">
        <f>COUNTIF('JIRA DATA'!F:F,A13)</f>
        <v/>
      </c>
      <c r="D13">
        <f>COUNTIFS('JIRA DATA'!F:F,A13,'JIRA DATA'!E:E,"Open")</f>
        <v/>
      </c>
      <c r="E13">
        <f>COUNTIFS('JIRA DATA'!F:F,A13,'JIRA DATA'!E:E,"Ready")</f>
        <v/>
      </c>
      <c r="F13">
        <f>C13-D13-E13</f>
        <v/>
      </c>
      <c r="G13" s="48">
        <f>IF(C13=0,0,E13/C13)</f>
        <v/>
      </c>
      <c r="V13">
        <f>IF(U13="","-",COUNTIFS('JIRA DATA'!F:F,A13,'JIRA DATA'!J:J,U13,'JIRA DATA'!E:E,"Ready"))</f>
        <v/>
      </c>
      <c r="W13">
        <f>IF(U13="","-",COUNTIFS('JIRA DATA'!F:F,A13,'JIRA DATA'!J:J,U13))</f>
        <v/>
      </c>
      <c r="X13">
        <f>IF(U13="","-",V13&amp;"/"&amp;W13)</f>
        <v/>
      </c>
    </row>
    <row r="14">
      <c r="A14" t="inlineStr">
        <is>
          <t>TECH REQUIREMENTS</t>
        </is>
      </c>
      <c r="B14" t="inlineStr">
        <is>
          <t>TECH REQUIREMENTS</t>
        </is>
      </c>
      <c r="C14">
        <f>COUNTIF('JIRA DATA'!F:F,A14)</f>
        <v/>
      </c>
      <c r="D14">
        <f>COUNTIFS('JIRA DATA'!F:F,A14,'JIRA DATA'!E:E,"Open")</f>
        <v/>
      </c>
      <c r="E14">
        <f>COUNTIFS('JIRA DATA'!F:F,A14,'JIRA DATA'!E:E,"Ready")</f>
        <v/>
      </c>
      <c r="F14">
        <f>C14-D14-E14</f>
        <v/>
      </c>
      <c r="G14" s="48">
        <f>IF(C14=0,0,E14/C14)</f>
        <v/>
      </c>
      <c r="W14">
        <f>IF(V14="","-",COUNTIFS('JIRA DATA'!F:F,A14,'JIRA DATA'!J:J,V14,'JIRA DATA'!E:E,"Ready"))</f>
        <v/>
      </c>
      <c r="X14">
        <f>IF(V14="","-",COUNTIFS('JIRA DATA'!F:F,A14,'JIRA DATA'!J:J,V14))</f>
        <v/>
      </c>
      <c r="Y14">
        <f>IF(V14="","-",W14&amp;"/"&amp;X14)</f>
        <v/>
      </c>
    </row>
    <row r="15">
      <c r="A15" t="inlineStr">
        <is>
          <t>Vessel Tracking</t>
        </is>
      </c>
      <c r="B15" t="inlineStr">
        <is>
          <t>Vessel Tracking</t>
        </is>
      </c>
      <c r="C15">
        <f>COUNTIF('JIRA DATA'!F:F,A15)</f>
        <v/>
      </c>
      <c r="D15">
        <f>COUNTIFS('JIRA DATA'!F:F,A15,'JIRA DATA'!E:E,"Open")</f>
        <v/>
      </c>
      <c r="E15">
        <f>COUNTIFS('JIRA DATA'!F:F,A15,'JIRA DATA'!E:E,"Ready")</f>
        <v/>
      </c>
      <c r="F15">
        <f>C15-D15-E15</f>
        <v/>
      </c>
      <c r="G15" s="48">
        <f>IF(C15=0,0,E15/C15)</f>
        <v/>
      </c>
      <c r="X15">
        <f>IF(W15="","-",COUNTIFS('JIRA DATA'!F:F,A15,'JIRA DATA'!J:J,W15,'JIRA DATA'!E:E,"Ready"))</f>
        <v/>
      </c>
      <c r="Y15">
        <f>IF(W15="","-",COUNTIFS('JIRA DATA'!F:F,A15,'JIRA DATA'!J:J,W15))</f>
        <v/>
      </c>
      <c r="Z15">
        <f>IF(W15="","-",X15&amp;"/"&amp;Y15)</f>
        <v/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">
    <mergeCell ref="A1:I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2578125" defaultRowHeight="15" customHeight="1"/>
  <cols>
    <col width="18" customWidth="1" style="39" min="1" max="6"/>
    <col width="8.7109375" customWidth="1" style="39" min="7" max="26"/>
  </cols>
  <sheetData>
    <row r="1">
      <c r="A1" s="31" t="inlineStr">
        <is>
          <t>BURNUP CHART DATA</t>
        </is>
      </c>
    </row>
    <row r="2">
      <c r="A2" s="31" t="inlineStr">
        <is>
          <t>Session #</t>
        </is>
      </c>
      <c r="B2" s="31" t="inlineStr">
        <is>
          <t>Sprint</t>
        </is>
      </c>
      <c r="C2" s="31" t="inlineStr">
        <is>
          <t>Stories Refined (Target)</t>
        </is>
      </c>
      <c r="D2" s="31" t="inlineStr">
        <is>
          <t>Stories Refined (Actual)</t>
        </is>
      </c>
      <c r="E2" s="31" t="inlineStr">
        <is>
          <t>Total Scope</t>
        </is>
      </c>
      <c r="F2" s="31" t="inlineStr">
        <is>
          <t>Gap</t>
        </is>
      </c>
    </row>
    <row r="3">
      <c r="A3" s="38" t="n">
        <v>0</v>
      </c>
      <c r="B3" s="38" t="n">
        <v>1</v>
      </c>
      <c r="C3" s="38" t="n">
        <v>0</v>
      </c>
      <c r="D3" s="38" t="n">
        <v>0</v>
      </c>
      <c r="E3" s="38">
        <f>DASHBOARD!$C$7</f>
        <v/>
      </c>
      <c r="F3" s="38" t="n">
        <v>0</v>
      </c>
    </row>
    <row r="4">
      <c r="A4" s="38">
        <f t="array" ref="A4">INDEX('SESSION LOG'!A:A,3)</f>
        <v/>
      </c>
      <c r="B4" s="38">
        <f t="array" ref="B4">INDEX('SESSION LOG'!B:B,3)</f>
        <v/>
      </c>
      <c r="C4" s="38">
        <f>(DASHBOARD!$C$7/15)*(1)</f>
        <v/>
      </c>
      <c r="D4" s="38">
        <f t="array" ref="D4">INDEX('SESSION LOG'!G:G,3)</f>
        <v/>
      </c>
      <c r="E4" s="38">
        <f>DASHBOARD!$C$7</f>
        <v/>
      </c>
      <c r="F4" s="38">
        <f>D4-C4</f>
        <v/>
      </c>
    </row>
    <row r="5">
      <c r="A5" s="38">
        <f t="array" ref="A5">INDEX('SESSION LOG'!A:A,4)</f>
        <v/>
      </c>
      <c r="B5" s="38">
        <f t="array" ref="B5">INDEX('SESSION LOG'!B:B,4)</f>
        <v/>
      </c>
      <c r="C5" s="38">
        <f>(DASHBOARD!$C$7/15)*(2)</f>
        <v/>
      </c>
      <c r="D5" s="38">
        <f t="array" ref="D5">INDEX('SESSION LOG'!G:G,4)</f>
        <v/>
      </c>
      <c r="E5" s="38">
        <f>DASHBOARD!$C$7</f>
        <v/>
      </c>
      <c r="F5" s="38">
        <f>D5-C5</f>
        <v/>
      </c>
    </row>
    <row r="6">
      <c r="A6" s="38">
        <f t="array" ref="A6">INDEX('SESSION LOG'!A:A,5)</f>
        <v/>
      </c>
      <c r="B6" s="38">
        <f t="array" ref="B6">INDEX('SESSION LOG'!B:B,5)</f>
        <v/>
      </c>
      <c r="C6" s="38">
        <f>(DASHBOARD!$C$7/15)*(3)</f>
        <v/>
      </c>
      <c r="D6" s="38">
        <f t="array" ref="D6">INDEX('SESSION LOG'!G:G,5)</f>
        <v/>
      </c>
      <c r="E6" s="38">
        <f>DASHBOARD!$C$7</f>
        <v/>
      </c>
      <c r="F6" s="38">
        <f>D6-C6</f>
        <v/>
      </c>
    </row>
    <row r="7">
      <c r="A7" s="38">
        <f t="array" ref="A7">INDEX('SESSION LOG'!A:A,6)</f>
        <v/>
      </c>
      <c r="B7" s="38">
        <f t="array" ref="B7">INDEX('SESSION LOG'!B:B,6)</f>
        <v/>
      </c>
      <c r="C7" s="38">
        <f>(DASHBOARD!$C$7/15)*(4)</f>
        <v/>
      </c>
      <c r="D7" s="38">
        <f t="array" ref="D7">INDEX('SESSION LOG'!G:G,6)</f>
        <v/>
      </c>
      <c r="E7" s="38">
        <f>DASHBOARD!$C$7</f>
        <v/>
      </c>
      <c r="F7" s="38">
        <f>D7-C7</f>
        <v/>
      </c>
    </row>
    <row r="8">
      <c r="A8" s="38">
        <f t="array" ref="A8">INDEX('SESSION LOG'!A:A,7)</f>
        <v/>
      </c>
      <c r="B8" s="38">
        <f t="array" ref="B8">INDEX('SESSION LOG'!B:B,7)</f>
        <v/>
      </c>
      <c r="C8" s="38">
        <f>(DASHBOARD!$C$7/15)*(5)</f>
        <v/>
      </c>
      <c r="D8" s="38">
        <f t="array" ref="D8">INDEX('SESSION LOG'!G:G,7)</f>
        <v/>
      </c>
      <c r="E8" s="38">
        <f>DASHBOARD!$C$7</f>
        <v/>
      </c>
      <c r="F8" s="38">
        <f>D8-C8</f>
        <v/>
      </c>
    </row>
    <row r="9">
      <c r="A9" s="38">
        <f t="array" ref="A9">INDEX('SESSION LOG'!A:A,8)</f>
        <v/>
      </c>
      <c r="B9" s="38">
        <f t="array" ref="B9">INDEX('SESSION LOG'!B:B,8)</f>
        <v/>
      </c>
      <c r="C9" s="38">
        <f>(DASHBOARD!$C$7/15)*(6)</f>
        <v/>
      </c>
      <c r="D9" s="38">
        <f t="array" ref="D9">INDEX('SESSION LOG'!G:G,8)</f>
        <v/>
      </c>
      <c r="E9" s="38">
        <f>DASHBOARD!$C$7</f>
        <v/>
      </c>
      <c r="F9" s="38">
        <f>D9-C9</f>
        <v/>
      </c>
    </row>
    <row r="10">
      <c r="A10" s="38">
        <f t="array" ref="A10">INDEX('SESSION LOG'!A:A,9)</f>
        <v/>
      </c>
      <c r="B10" s="38">
        <f t="array" ref="B10">INDEX('SESSION LOG'!B:B,9)</f>
        <v/>
      </c>
      <c r="C10" s="38">
        <f>(DASHBOARD!$C$7/15)*(7)</f>
        <v/>
      </c>
      <c r="D10" s="38">
        <f t="array" ref="D10">INDEX('SESSION LOG'!G:G,9)</f>
        <v/>
      </c>
      <c r="E10" s="38">
        <f>DASHBOARD!$C$7</f>
        <v/>
      </c>
      <c r="F10" s="38">
        <f>D10-C10</f>
        <v/>
      </c>
    </row>
    <row r="11">
      <c r="A11" s="38">
        <f t="array" ref="A11">INDEX('SESSION LOG'!A:A,10)</f>
        <v/>
      </c>
      <c r="B11" s="38">
        <f t="array" ref="B11">INDEX('SESSION LOG'!B:B,10)</f>
        <v/>
      </c>
      <c r="C11" s="38">
        <f>(DASHBOARD!$C$7/15)*(8)</f>
        <v/>
      </c>
      <c r="D11" s="38">
        <f t="array" ref="D11">INDEX('SESSION LOG'!G:G,10)</f>
        <v/>
      </c>
      <c r="E11" s="38">
        <f>DASHBOARD!$C$7</f>
        <v/>
      </c>
      <c r="F11" s="38">
        <f>D11-C11</f>
        <v/>
      </c>
    </row>
    <row r="12">
      <c r="A12" s="38">
        <f t="array" ref="A12">INDEX('SESSION LOG'!A:A,11)</f>
        <v/>
      </c>
      <c r="B12" s="38">
        <f t="array" ref="B12">INDEX('SESSION LOG'!B:B,11)</f>
        <v/>
      </c>
      <c r="C12" s="38">
        <f>(DASHBOARD!$C$7/15)*(9)</f>
        <v/>
      </c>
      <c r="D12" s="38">
        <f t="array" ref="D12">INDEX('SESSION LOG'!G:G,11)</f>
        <v/>
      </c>
      <c r="E12" s="38">
        <f>DASHBOARD!$C$7</f>
        <v/>
      </c>
      <c r="F12" s="38">
        <f>D12-C12</f>
        <v/>
      </c>
    </row>
    <row r="13">
      <c r="A13" s="38">
        <f t="array" ref="A13">INDEX('SESSION LOG'!A:A,12)</f>
        <v/>
      </c>
      <c r="B13" s="38">
        <f t="array" ref="B13">INDEX('SESSION LOG'!B:B,12)</f>
        <v/>
      </c>
      <c r="C13" s="38">
        <f>(DASHBOARD!$C$7/15)*(10)</f>
        <v/>
      </c>
      <c r="D13" s="38">
        <f t="array" ref="D13">INDEX('SESSION LOG'!G:G,12)</f>
        <v/>
      </c>
      <c r="E13" s="38">
        <f>DASHBOARD!$C$7</f>
        <v/>
      </c>
      <c r="F13" s="38">
        <f>D13-C13</f>
        <v/>
      </c>
    </row>
    <row r="14">
      <c r="A14" s="38">
        <f t="array" ref="A14">INDEX('SESSION LOG'!A:A,13)</f>
        <v/>
      </c>
      <c r="B14" s="38">
        <f t="array" ref="B14">INDEX('SESSION LOG'!B:B,13)</f>
        <v/>
      </c>
      <c r="C14" s="38">
        <f>(DASHBOARD!$C$7/15)*(11)</f>
        <v/>
      </c>
      <c r="D14" s="38">
        <f t="array" ref="D14">INDEX('SESSION LOG'!G:G,13)</f>
        <v/>
      </c>
      <c r="E14" s="38">
        <f>DASHBOARD!$C$7</f>
        <v/>
      </c>
      <c r="F14" s="38">
        <f>D14-C14</f>
        <v/>
      </c>
    </row>
    <row r="15">
      <c r="A15" s="38">
        <f t="array" ref="A15">INDEX('SESSION LOG'!A:A,14)</f>
        <v/>
      </c>
      <c r="B15" s="38">
        <f t="array" ref="B15">INDEX('SESSION LOG'!B:B,14)</f>
        <v/>
      </c>
      <c r="C15" s="38">
        <f>(DASHBOARD!$C$7/15)*(12)</f>
        <v/>
      </c>
      <c r="D15" s="38">
        <f t="array" ref="D15">INDEX('SESSION LOG'!G:G,14)</f>
        <v/>
      </c>
      <c r="E15" s="38">
        <f>DASHBOARD!$C$7</f>
        <v/>
      </c>
      <c r="F15" s="38">
        <f>D15-C15</f>
        <v/>
      </c>
    </row>
    <row r="16">
      <c r="A16" s="38">
        <f t="array" ref="A16">INDEX('SESSION LOG'!A:A,15)</f>
        <v/>
      </c>
      <c r="B16" s="38">
        <f t="array" ref="B16">INDEX('SESSION LOG'!B:B,15)</f>
        <v/>
      </c>
      <c r="C16" s="38">
        <f>(DASHBOARD!$C$7/15)*(13)</f>
        <v/>
      </c>
      <c r="D16" s="38">
        <f t="array" ref="D16">INDEX('SESSION LOG'!G:G,15)</f>
        <v/>
      </c>
      <c r="E16" s="38">
        <f>DASHBOARD!$C$7</f>
        <v/>
      </c>
      <c r="F16" s="38">
        <f>D16-C16</f>
        <v/>
      </c>
    </row>
    <row r="17">
      <c r="A17" s="38">
        <f t="array" ref="A17">INDEX('SESSION LOG'!A:A,16)</f>
        <v/>
      </c>
      <c r="B17" s="38">
        <f t="array" ref="B17">INDEX('SESSION LOG'!B:B,16)</f>
        <v/>
      </c>
      <c r="C17" s="38">
        <f>(DASHBOARD!$C$7/15)*(14)</f>
        <v/>
      </c>
      <c r="D17" s="38">
        <f t="array" ref="D17">INDEX('SESSION LOG'!G:G,16)</f>
        <v/>
      </c>
      <c r="E17" s="38">
        <f>DASHBOARD!$C$7</f>
        <v/>
      </c>
      <c r="F17" s="38">
        <f>D17-C17</f>
        <v/>
      </c>
    </row>
    <row r="18">
      <c r="A18" s="38">
        <f t="array" ref="A18">INDEX('SESSION LOG'!A:A,17)</f>
        <v/>
      </c>
      <c r="B18" s="38">
        <f t="array" ref="B18">INDEX('SESSION LOG'!B:B,17)</f>
        <v/>
      </c>
      <c r="C18" s="38">
        <f>(DASHBOARD!$C$7/15)*(15)</f>
        <v/>
      </c>
      <c r="D18" s="38">
        <f t="array" ref="D18">INDEX('SESSION LOG'!G:G,17)</f>
        <v/>
      </c>
      <c r="E18" s="38">
        <f>DASHBOARD!$C$7</f>
        <v/>
      </c>
      <c r="F18" s="38">
        <f>D18-C18</f>
        <v/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">
    <mergeCell ref="A1:F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style="39" min="1" max="1"/>
    <col width="15" customWidth="1" style="39" min="2" max="2"/>
    <col width="15" customWidth="1" style="39" min="3" max="3"/>
    <col width="15" customWidth="1" style="39" min="4" max="4"/>
    <col width="15" customWidth="1" style="39" min="5" max="5"/>
    <col width="15" customWidth="1" style="39" min="6" max="6"/>
    <col width="15" customWidth="1" style="39" min="7" max="7"/>
    <col width="15" customWidth="1" style="39" min="8" max="8"/>
    <col width="15" customWidth="1" style="39" min="9" max="9"/>
  </cols>
  <sheetData>
    <row r="1">
      <c r="A1" s="57" t="inlineStr">
        <is>
          <t>SSF_PI#01 REFINEMENT SESSION LOG</t>
        </is>
      </c>
    </row>
    <row r="2">
      <c r="A2" s="47" t="inlineStr">
        <is>
          <t>Session #</t>
        </is>
      </c>
      <c r="B2" s="47" t="inlineStr">
        <is>
          <t>Sprint</t>
        </is>
      </c>
      <c r="C2" s="47" t="inlineStr">
        <is>
          <t>Date</t>
        </is>
      </c>
      <c r="D2" s="47" t="inlineStr">
        <is>
          <t>PI(s) Worked</t>
        </is>
      </c>
      <c r="E2" s="47" t="inlineStr">
        <is>
          <t>Target Stories</t>
        </is>
      </c>
      <c r="F2" s="47" t="inlineStr">
        <is>
          <t>Stories Refined</t>
        </is>
      </c>
      <c r="G2" s="47" t="inlineStr">
        <is>
          <t>Cumulative</t>
        </is>
      </c>
      <c r="H2" s="47" t="inlineStr">
        <is>
          <t>Remaining</t>
        </is>
      </c>
      <c r="I2" s="47" t="inlineStr">
        <is>
          <t>Velocity</t>
        </is>
      </c>
    </row>
    <row r="3">
      <c r="A3" t="n">
        <v>1</v>
      </c>
      <c r="B3">
        <f>'SESSION LOG'!B3</f>
        <v/>
      </c>
      <c r="C3">
        <f>'SESSION LOG'!C3</f>
        <v/>
      </c>
      <c r="D3">
        <f>'SESSION LOG'!K3</f>
        <v/>
      </c>
      <c r="E3">
        <f>'SESSION LOG'!E3</f>
        <v/>
      </c>
      <c r="F3">
        <f>IF(ISNUMBER(SEARCH("SSF_PI#01",'SESSION LOG'!K3)),'SESSION LOG'!F3,0)</f>
        <v/>
      </c>
      <c r="G3">
        <f>SUM($F$3:F3)</f>
        <v/>
      </c>
      <c r="H3">
        <f>=COUNTIF('JIRA DATA'!J:J,"SSF_PI#01")-G3</f>
        <v/>
      </c>
      <c r="I3">
        <f>F3</f>
        <v/>
      </c>
    </row>
    <row r="4">
      <c r="A4" t="n">
        <v>2</v>
      </c>
      <c r="B4">
        <f>'SESSION LOG'!B4</f>
        <v/>
      </c>
      <c r="C4">
        <f>'SESSION LOG'!C4</f>
        <v/>
      </c>
      <c r="D4">
        <f>'SESSION LOG'!K4</f>
        <v/>
      </c>
      <c r="E4">
        <f>'SESSION LOG'!E4</f>
        <v/>
      </c>
      <c r="F4">
        <f>IF(ISNUMBER(SEARCH("SSF_PI#01",'SESSION LOG'!K4)),'SESSION LOG'!F4,0)</f>
        <v/>
      </c>
      <c r="G4">
        <f>SUM($F$3:F4)</f>
        <v/>
      </c>
      <c r="H4">
        <f>=COUNTIF('JIRA DATA'!J:J,"SSF_PI#01")-G4</f>
        <v/>
      </c>
      <c r="I4">
        <f>AVERAGE($F$3:F4)</f>
        <v/>
      </c>
    </row>
    <row r="5">
      <c r="A5" t="n">
        <v>3</v>
      </c>
      <c r="B5">
        <f>'SESSION LOG'!B5</f>
        <v/>
      </c>
      <c r="C5">
        <f>'SESSION LOG'!C5</f>
        <v/>
      </c>
      <c r="D5">
        <f>'SESSION LOG'!K5</f>
        <v/>
      </c>
      <c r="E5">
        <f>'SESSION LOG'!E5</f>
        <v/>
      </c>
      <c r="F5">
        <f>IF(ISNUMBER(SEARCH("SSF_PI#01",'SESSION LOG'!K5)),'SESSION LOG'!F5,0)</f>
        <v/>
      </c>
      <c r="G5">
        <f>SUM($F$3:F5)</f>
        <v/>
      </c>
      <c r="H5">
        <f>=COUNTIF('JIRA DATA'!J:J,"SSF_PI#01")-G5</f>
        <v/>
      </c>
      <c r="I5">
        <f>AVERAGE($F$3:F5)</f>
        <v/>
      </c>
    </row>
    <row r="6">
      <c r="A6" t="n">
        <v>4</v>
      </c>
      <c r="B6">
        <f>'SESSION LOG'!B6</f>
        <v/>
      </c>
      <c r="C6">
        <f>'SESSION LOG'!C6</f>
        <v/>
      </c>
      <c r="D6">
        <f>'SESSION LOG'!K6</f>
        <v/>
      </c>
      <c r="E6">
        <f>'SESSION LOG'!E6</f>
        <v/>
      </c>
      <c r="F6">
        <f>IF(ISNUMBER(SEARCH("SSF_PI#01",'SESSION LOG'!K6)),'SESSION LOG'!F6,0)</f>
        <v/>
      </c>
      <c r="G6">
        <f>SUM($F$3:F6)</f>
        <v/>
      </c>
      <c r="H6">
        <f>=COUNTIF('JIRA DATA'!J:J,"SSF_PI#01")-G6</f>
        <v/>
      </c>
      <c r="I6">
        <f>AVERAGE($F$3:F6)</f>
        <v/>
      </c>
    </row>
    <row r="7">
      <c r="A7" t="n">
        <v>5</v>
      </c>
      <c r="B7">
        <f>'SESSION LOG'!B7</f>
        <v/>
      </c>
      <c r="C7">
        <f>'SESSION LOG'!C7</f>
        <v/>
      </c>
      <c r="D7">
        <f>'SESSION LOG'!K7</f>
        <v/>
      </c>
      <c r="E7">
        <f>'SESSION LOG'!E7</f>
        <v/>
      </c>
      <c r="F7">
        <f>IF(ISNUMBER(SEARCH("SSF_PI#01",'SESSION LOG'!K7)),'SESSION LOG'!F7,0)</f>
        <v/>
      </c>
      <c r="G7">
        <f>SUM($F$3:F7)</f>
        <v/>
      </c>
      <c r="H7">
        <f>=COUNTIF('JIRA DATA'!J:J,"SSF_PI#01")-G7</f>
        <v/>
      </c>
      <c r="I7">
        <f>AVERAGE($F$3:F7)</f>
        <v/>
      </c>
    </row>
    <row r="8">
      <c r="A8" t="n">
        <v>6</v>
      </c>
      <c r="B8">
        <f>'SESSION LOG'!B8</f>
        <v/>
      </c>
      <c r="C8">
        <f>'SESSION LOG'!C8</f>
        <v/>
      </c>
      <c r="D8">
        <f>'SESSION LOG'!K8</f>
        <v/>
      </c>
      <c r="E8">
        <f>'SESSION LOG'!E8</f>
        <v/>
      </c>
      <c r="F8">
        <f>IF(ISNUMBER(SEARCH("SSF_PI#01",'SESSION LOG'!K8)),'SESSION LOG'!F8,0)</f>
        <v/>
      </c>
      <c r="G8">
        <f>SUM($F$3:F8)</f>
        <v/>
      </c>
      <c r="H8">
        <f>=COUNTIF('JIRA DATA'!J:J,"SSF_PI#01")-G8</f>
        <v/>
      </c>
      <c r="I8">
        <f>AVERAGE($F$3:F8)</f>
        <v/>
      </c>
    </row>
    <row r="9">
      <c r="A9" t="n">
        <v>7</v>
      </c>
      <c r="B9">
        <f>'SESSION LOG'!B9</f>
        <v/>
      </c>
      <c r="C9">
        <f>'SESSION LOG'!C9</f>
        <v/>
      </c>
      <c r="D9">
        <f>'SESSION LOG'!K9</f>
        <v/>
      </c>
      <c r="E9">
        <f>'SESSION LOG'!E9</f>
        <v/>
      </c>
      <c r="F9">
        <f>IF(ISNUMBER(SEARCH("SSF_PI#01",'SESSION LOG'!K9)),'SESSION LOG'!F9,0)</f>
        <v/>
      </c>
      <c r="G9">
        <f>SUM($F$3:F9)</f>
        <v/>
      </c>
      <c r="H9">
        <f>=COUNTIF('JIRA DATA'!J:J,"SSF_PI#01")-G9</f>
        <v/>
      </c>
      <c r="I9">
        <f>AVERAGE($F$3:F9)</f>
        <v/>
      </c>
    </row>
    <row r="10">
      <c r="A10" t="n">
        <v>8</v>
      </c>
      <c r="B10">
        <f>'SESSION LOG'!B10</f>
        <v/>
      </c>
      <c r="C10">
        <f>'SESSION LOG'!C10</f>
        <v/>
      </c>
      <c r="D10">
        <f>'SESSION LOG'!K10</f>
        <v/>
      </c>
      <c r="E10">
        <f>'SESSION LOG'!E10</f>
        <v/>
      </c>
      <c r="F10">
        <f>IF(ISNUMBER(SEARCH("SSF_PI#01",'SESSION LOG'!K10)),'SESSION LOG'!F10,0)</f>
        <v/>
      </c>
      <c r="G10">
        <f>SUM($F$3:F10)</f>
        <v/>
      </c>
      <c r="H10">
        <f>=COUNTIF('JIRA DATA'!J:J,"SSF_PI#01")-G10</f>
        <v/>
      </c>
      <c r="I10">
        <f>AVERAGE($F$3:F10)</f>
        <v/>
      </c>
    </row>
    <row r="11">
      <c r="A11" t="n">
        <v>9</v>
      </c>
      <c r="B11">
        <f>'SESSION LOG'!B11</f>
        <v/>
      </c>
      <c r="C11">
        <f>'SESSION LOG'!C11</f>
        <v/>
      </c>
      <c r="D11">
        <f>'SESSION LOG'!K11</f>
        <v/>
      </c>
      <c r="E11">
        <f>'SESSION LOG'!E11</f>
        <v/>
      </c>
      <c r="F11">
        <f>IF(ISNUMBER(SEARCH("SSF_PI#01",'SESSION LOG'!K11)),'SESSION LOG'!F11,0)</f>
        <v/>
      </c>
      <c r="G11">
        <f>SUM($F$3:F11)</f>
        <v/>
      </c>
      <c r="H11">
        <f>=COUNTIF('JIRA DATA'!J:J,"SSF_PI#01")-G11</f>
        <v/>
      </c>
      <c r="I11">
        <f>AVERAGE($F$3:F11)</f>
        <v/>
      </c>
    </row>
    <row r="12">
      <c r="A12" t="n">
        <v>10</v>
      </c>
      <c r="B12">
        <f>'SESSION LOG'!B12</f>
        <v/>
      </c>
      <c r="C12">
        <f>'SESSION LOG'!C12</f>
        <v/>
      </c>
      <c r="D12">
        <f>'SESSION LOG'!K12</f>
        <v/>
      </c>
      <c r="E12">
        <f>'SESSION LOG'!E12</f>
        <v/>
      </c>
      <c r="F12">
        <f>IF(ISNUMBER(SEARCH("SSF_PI#01",'SESSION LOG'!K12)),'SESSION LOG'!F12,0)</f>
        <v/>
      </c>
      <c r="G12">
        <f>SUM($F$3:F12)</f>
        <v/>
      </c>
      <c r="H12">
        <f>=COUNTIF('JIRA DATA'!J:J,"SSF_PI#01")-G12</f>
        <v/>
      </c>
      <c r="I12">
        <f>AVERAGE($F$3:F12)</f>
        <v/>
      </c>
    </row>
    <row r="13">
      <c r="A13" t="n">
        <v>11</v>
      </c>
      <c r="B13">
        <f>'SESSION LOG'!B13</f>
        <v/>
      </c>
      <c r="C13">
        <f>'SESSION LOG'!C13</f>
        <v/>
      </c>
      <c r="D13">
        <f>'SESSION LOG'!K13</f>
        <v/>
      </c>
      <c r="E13">
        <f>'SESSION LOG'!E13</f>
        <v/>
      </c>
      <c r="F13">
        <f>IF(ISNUMBER(SEARCH("SSF_PI#01",'SESSION LOG'!K13)),'SESSION LOG'!F13,0)</f>
        <v/>
      </c>
      <c r="G13">
        <f>SUM($F$3:F13)</f>
        <v/>
      </c>
      <c r="H13">
        <f>=COUNTIF('JIRA DATA'!J:J,"SSF_PI#01")-G13</f>
        <v/>
      </c>
      <c r="I13">
        <f>AVERAGE($F$3:F13)</f>
        <v/>
      </c>
    </row>
    <row r="14">
      <c r="A14" t="n">
        <v>12</v>
      </c>
      <c r="B14">
        <f>'SESSION LOG'!B14</f>
        <v/>
      </c>
      <c r="C14">
        <f>'SESSION LOG'!C14</f>
        <v/>
      </c>
      <c r="D14">
        <f>'SESSION LOG'!K14</f>
        <v/>
      </c>
      <c r="E14">
        <f>'SESSION LOG'!E14</f>
        <v/>
      </c>
      <c r="F14">
        <f>IF(ISNUMBER(SEARCH("SSF_PI#01",'SESSION LOG'!K14)),'SESSION LOG'!F14,0)</f>
        <v/>
      </c>
      <c r="G14">
        <f>SUM($F$3:F14)</f>
        <v/>
      </c>
      <c r="H14">
        <f>=COUNTIF('JIRA DATA'!J:J,"SSF_PI#01")-G14</f>
        <v/>
      </c>
      <c r="I14">
        <f>AVERAGE($F$3:F14)</f>
        <v/>
      </c>
    </row>
    <row r="15">
      <c r="A15" t="n">
        <v>13</v>
      </c>
      <c r="B15">
        <f>'SESSION LOG'!B15</f>
        <v/>
      </c>
      <c r="C15">
        <f>'SESSION LOG'!C15</f>
        <v/>
      </c>
      <c r="D15">
        <f>'SESSION LOG'!K15</f>
        <v/>
      </c>
      <c r="E15">
        <f>'SESSION LOG'!E15</f>
        <v/>
      </c>
      <c r="F15">
        <f>IF(ISNUMBER(SEARCH("SSF_PI#01",'SESSION LOG'!K15)),'SESSION LOG'!F15,0)</f>
        <v/>
      </c>
      <c r="G15">
        <f>SUM($F$3:F15)</f>
        <v/>
      </c>
      <c r="H15">
        <f>=COUNTIF('JIRA DATA'!J:J,"SSF_PI#01")-G15</f>
        <v/>
      </c>
      <c r="I15">
        <f>AVERAGE($F$3:F15)</f>
        <v/>
      </c>
    </row>
    <row r="16">
      <c r="A16" t="n">
        <v>14</v>
      </c>
      <c r="B16">
        <f>'SESSION LOG'!B16</f>
        <v/>
      </c>
      <c r="C16">
        <f>'SESSION LOG'!C16</f>
        <v/>
      </c>
      <c r="D16">
        <f>'SESSION LOG'!K16</f>
        <v/>
      </c>
      <c r="E16">
        <f>'SESSION LOG'!E16</f>
        <v/>
      </c>
      <c r="F16">
        <f>IF(ISNUMBER(SEARCH("SSF_PI#01",'SESSION LOG'!K16)),'SESSION LOG'!F16,0)</f>
        <v/>
      </c>
      <c r="G16">
        <f>SUM($F$3:F16)</f>
        <v/>
      </c>
      <c r="H16">
        <f>=COUNTIF('JIRA DATA'!J:J,"SSF_PI#01")-G16</f>
        <v/>
      </c>
      <c r="I16">
        <f>AVERAGE($F$3:F16)</f>
        <v/>
      </c>
    </row>
    <row r="17">
      <c r="A17" t="n">
        <v>15</v>
      </c>
      <c r="B17">
        <f>'SESSION LOG'!B17</f>
        <v/>
      </c>
      <c r="C17">
        <f>'SESSION LOG'!C17</f>
        <v/>
      </c>
      <c r="D17">
        <f>'SESSION LOG'!K17</f>
        <v/>
      </c>
      <c r="E17">
        <f>'SESSION LOG'!E17</f>
        <v/>
      </c>
      <c r="F17">
        <f>IF(ISNUMBER(SEARCH("SSF_PI#01",'SESSION LOG'!K17)),'SESSION LOG'!F17,0)</f>
        <v/>
      </c>
      <c r="G17">
        <f>SUM($F$3:F17)</f>
        <v/>
      </c>
      <c r="H17">
        <f>=COUNTIF('JIRA DATA'!J:J,"SSF_PI#01")-G17</f>
        <v/>
      </c>
      <c r="I17">
        <f>AVERAGE($F$3:F17)</f>
        <v/>
      </c>
    </row>
    <row r="18">
      <c r="A18" t="n">
        <v>16</v>
      </c>
      <c r="B18">
        <f>'SESSION LOG'!B18</f>
        <v/>
      </c>
      <c r="C18">
        <f>'SESSION LOG'!C18</f>
        <v/>
      </c>
      <c r="D18">
        <f>'SESSION LOG'!K18</f>
        <v/>
      </c>
      <c r="E18">
        <f>'SESSION LOG'!E18</f>
        <v/>
      </c>
      <c r="F18">
        <f>IF(ISNUMBER(SEARCH("SSF_PI#01",'SESSION LOG'!K18)),'SESSION LOG'!F18,0)</f>
        <v/>
      </c>
      <c r="G18">
        <f>SUM($F$3:F18)</f>
        <v/>
      </c>
      <c r="H18">
        <f>=COUNTIF('JIRA DATA'!J:J,"SSF_PI#01")-G18</f>
        <v/>
      </c>
      <c r="I18">
        <f>AVERAGE($F$3:F18)</f>
        <v/>
      </c>
    </row>
    <row r="19">
      <c r="A19" t="n">
        <v>17</v>
      </c>
      <c r="B19">
        <f>'SESSION LOG'!B19</f>
        <v/>
      </c>
      <c r="C19">
        <f>'SESSION LOG'!C19</f>
        <v/>
      </c>
      <c r="D19">
        <f>'SESSION LOG'!K19</f>
        <v/>
      </c>
      <c r="E19">
        <f>'SESSION LOG'!E19</f>
        <v/>
      </c>
      <c r="F19">
        <f>IF(ISNUMBER(SEARCH("SSF_PI#01",'SESSION LOG'!K19)),'SESSION LOG'!F19,0)</f>
        <v/>
      </c>
      <c r="G19">
        <f>SUM($F$3:F19)</f>
        <v/>
      </c>
      <c r="H19">
        <f>=COUNTIF('JIRA DATA'!J:J,"SSF_PI#01")-G19</f>
        <v/>
      </c>
      <c r="I19">
        <f>AVERAGE($F$3:F19)</f>
        <v/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style="39" min="1" max="1"/>
    <col width="15" customWidth="1" style="39" min="2" max="2"/>
    <col width="15" customWidth="1" style="39" min="3" max="3"/>
    <col width="15" customWidth="1" style="39" min="4" max="4"/>
    <col width="15" customWidth="1" style="39" min="5" max="5"/>
  </cols>
  <sheetData>
    <row r="1">
      <c r="A1" s="55" t="inlineStr">
        <is>
          <t>TARGET SESSIONS:</t>
        </is>
      </c>
      <c r="B1" s="56" t="n">
        <v>15</v>
      </c>
      <c r="D1" s="57" t="inlineStr">
        <is>
          <t>SSF_PI#01 BURNDOWN DATA</t>
        </is>
      </c>
    </row>
    <row r="2">
      <c r="A2" s="55" t="inlineStr">
        <is>
          <t>TOTAL STORIES:</t>
        </is>
      </c>
      <c r="B2" s="55">
        <f>COUNTIF('JIRA DATA'!J:J,"SSF_PI#01")</f>
        <v/>
      </c>
    </row>
    <row r="4">
      <c r="A4" s="47" t="inlineStr">
        <is>
          <t>Session #</t>
        </is>
      </c>
      <c r="B4" s="47" t="inlineStr">
        <is>
          <t>Sprint</t>
        </is>
      </c>
      <c r="C4" s="47" t="inlineStr">
        <is>
          <t>IDEAL Remaining</t>
        </is>
      </c>
      <c r="D4" s="47" t="inlineStr">
        <is>
          <t>ACTUAL Remaining</t>
        </is>
      </c>
      <c r="E4" s="47" t="inlineStr">
        <is>
          <t>Variance</t>
        </is>
      </c>
      <c r="G4" s="58" t="inlineStr">
        <is>
          <t>TO CREATE CHART:</t>
        </is>
      </c>
    </row>
    <row r="5">
      <c r="A5" t="n">
        <v>0</v>
      </c>
      <c r="B5">
        <f>'SSF_PI#01 SESSION LOG'!B3</f>
        <v/>
      </c>
      <c r="C5">
        <f>$B$2-($B$2/$B$1)*A5</f>
        <v/>
      </c>
      <c r="D5">
        <f>'SSF_PI#01 SESSION LOG'!H3</f>
        <v/>
      </c>
      <c r="E5">
        <f>D5-C5</f>
        <v/>
      </c>
      <c r="G5" t="inlineStr">
        <is>
          <t>1. Select cells C4:D21</t>
        </is>
      </c>
    </row>
    <row r="6">
      <c r="A6" t="n">
        <v>1</v>
      </c>
      <c r="B6">
        <f>'SSF_PI#01 SESSION LOG'!B4</f>
        <v/>
      </c>
      <c r="C6">
        <f>$B$2-($B$2/$B$1)*A6</f>
        <v/>
      </c>
      <c r="D6">
        <f>'SSF_PI#01 SESSION LOG'!H4</f>
        <v/>
      </c>
      <c r="E6">
        <f>D6-C6</f>
        <v/>
      </c>
      <c r="G6" t="inlineStr">
        <is>
          <t>2. Insert &gt; Chart &gt; Line</t>
        </is>
      </c>
    </row>
    <row r="7">
      <c r="A7" t="n">
        <v>2</v>
      </c>
      <c r="B7">
        <f>'SSF_PI#01 SESSION LOG'!B5</f>
        <v/>
      </c>
      <c r="C7">
        <f>$B$2-($B$2/$B$1)*A7</f>
        <v/>
      </c>
      <c r="D7">
        <f>'SSF_PI#01 SESSION LOG'!H5</f>
        <v/>
      </c>
      <c r="E7">
        <f>D7-C7</f>
        <v/>
      </c>
      <c r="G7" t="inlineStr">
        <is>
          <t>3. Title: See cell D1</t>
        </is>
      </c>
    </row>
    <row r="8">
      <c r="A8" t="n">
        <v>3</v>
      </c>
      <c r="B8">
        <f>'SSF_PI#01 SESSION LOG'!B6</f>
        <v/>
      </c>
      <c r="C8">
        <f>$B$2-($B$2/$B$1)*A8</f>
        <v/>
      </c>
      <c r="D8">
        <f>'SSF_PI#01 SESSION LOG'!H6</f>
        <v/>
      </c>
      <c r="E8">
        <f>D8-C8</f>
        <v/>
      </c>
    </row>
    <row r="9">
      <c r="A9" t="n">
        <v>4</v>
      </c>
      <c r="B9">
        <f>'SSF_PI#01 SESSION LOG'!B7</f>
        <v/>
      </c>
      <c r="C9">
        <f>$B$2-($B$2/$B$1)*A9</f>
        <v/>
      </c>
      <c r="D9">
        <f>'SSF_PI#01 SESSION LOG'!H7</f>
        <v/>
      </c>
      <c r="E9">
        <f>D9-C9</f>
        <v/>
      </c>
    </row>
    <row r="10">
      <c r="A10" t="n">
        <v>5</v>
      </c>
      <c r="B10">
        <f>'SSF_PI#01 SESSION LOG'!B8</f>
        <v/>
      </c>
      <c r="C10">
        <f>$B$2-($B$2/$B$1)*A10</f>
        <v/>
      </c>
      <c r="D10">
        <f>'SSF_PI#01 SESSION LOG'!H8</f>
        <v/>
      </c>
      <c r="E10">
        <f>D10-C10</f>
        <v/>
      </c>
    </row>
    <row r="11">
      <c r="A11" t="n">
        <v>6</v>
      </c>
      <c r="B11">
        <f>'SSF_PI#01 SESSION LOG'!B9</f>
        <v/>
      </c>
      <c r="C11">
        <f>$B$2-($B$2/$B$1)*A11</f>
        <v/>
      </c>
      <c r="D11">
        <f>'SSF_PI#01 SESSION LOG'!H9</f>
        <v/>
      </c>
      <c r="E11">
        <f>D11-C11</f>
        <v/>
      </c>
    </row>
    <row r="12">
      <c r="A12" t="n">
        <v>7</v>
      </c>
      <c r="B12">
        <f>'SSF_PI#01 SESSION LOG'!B10</f>
        <v/>
      </c>
      <c r="C12">
        <f>$B$2-($B$2/$B$1)*A12</f>
        <v/>
      </c>
      <c r="D12">
        <f>'SSF_PI#01 SESSION LOG'!H10</f>
        <v/>
      </c>
      <c r="E12">
        <f>D12-C12</f>
        <v/>
      </c>
    </row>
    <row r="13">
      <c r="A13" t="n">
        <v>8</v>
      </c>
      <c r="B13">
        <f>'SSF_PI#01 SESSION LOG'!B11</f>
        <v/>
      </c>
      <c r="C13">
        <f>$B$2-($B$2/$B$1)*A13</f>
        <v/>
      </c>
      <c r="D13">
        <f>'SSF_PI#01 SESSION LOG'!H11</f>
        <v/>
      </c>
      <c r="E13">
        <f>D13-C13</f>
        <v/>
      </c>
    </row>
    <row r="14">
      <c r="A14" t="n">
        <v>9</v>
      </c>
      <c r="B14">
        <f>'SSF_PI#01 SESSION LOG'!B12</f>
        <v/>
      </c>
      <c r="C14">
        <f>$B$2-($B$2/$B$1)*A14</f>
        <v/>
      </c>
      <c r="D14">
        <f>'SSF_PI#01 SESSION LOG'!H12</f>
        <v/>
      </c>
      <c r="E14">
        <f>D14-C14</f>
        <v/>
      </c>
    </row>
    <row r="15">
      <c r="A15" t="n">
        <v>10</v>
      </c>
      <c r="B15">
        <f>'SSF_PI#01 SESSION LOG'!B13</f>
        <v/>
      </c>
      <c r="C15">
        <f>$B$2-($B$2/$B$1)*A15</f>
        <v/>
      </c>
      <c r="D15">
        <f>'SSF_PI#01 SESSION LOG'!H13</f>
        <v/>
      </c>
      <c r="E15">
        <f>D15-C15</f>
        <v/>
      </c>
    </row>
    <row r="16">
      <c r="A16" t="n">
        <v>11</v>
      </c>
      <c r="B16">
        <f>'SSF_PI#01 SESSION LOG'!B14</f>
        <v/>
      </c>
      <c r="C16">
        <f>$B$2-($B$2/$B$1)*A16</f>
        <v/>
      </c>
      <c r="D16">
        <f>'SSF_PI#01 SESSION LOG'!H14</f>
        <v/>
      </c>
      <c r="E16">
        <f>D16-C16</f>
        <v/>
      </c>
    </row>
    <row r="17">
      <c r="A17" t="n">
        <v>12</v>
      </c>
      <c r="B17">
        <f>'SSF_PI#01 SESSION LOG'!B15</f>
        <v/>
      </c>
      <c r="C17">
        <f>$B$2-($B$2/$B$1)*A17</f>
        <v/>
      </c>
      <c r="D17">
        <f>'SSF_PI#01 SESSION LOG'!H15</f>
        <v/>
      </c>
      <c r="E17">
        <f>D17-C17</f>
        <v/>
      </c>
    </row>
    <row r="18">
      <c r="A18" t="n">
        <v>13</v>
      </c>
      <c r="B18">
        <f>'SSF_PI#01 SESSION LOG'!B16</f>
        <v/>
      </c>
      <c r="C18">
        <f>$B$2-($B$2/$B$1)*A18</f>
        <v/>
      </c>
      <c r="D18">
        <f>'SSF_PI#01 SESSION LOG'!H16</f>
        <v/>
      </c>
      <c r="E18">
        <f>D18-C18</f>
        <v/>
      </c>
    </row>
    <row r="19">
      <c r="A19" t="n">
        <v>14</v>
      </c>
      <c r="B19">
        <f>'SSF_PI#01 SESSION LOG'!B17</f>
        <v/>
      </c>
      <c r="C19">
        <f>$B$2-($B$2/$B$1)*A19</f>
        <v/>
      </c>
      <c r="D19">
        <f>'SSF_PI#01 SESSION LOG'!H17</f>
        <v/>
      </c>
      <c r="E19">
        <f>D19-C19</f>
        <v/>
      </c>
    </row>
    <row r="20">
      <c r="A20" t="n">
        <v>15</v>
      </c>
      <c r="B20">
        <f>'SSF_PI#01 SESSION LOG'!B18</f>
        <v/>
      </c>
      <c r="C20">
        <f>$B$2-($B$2/$B$1)*A20</f>
        <v/>
      </c>
      <c r="D20">
        <f>'SSF_PI#01 SESSION LOG'!H18</f>
        <v/>
      </c>
      <c r="E20">
        <f>D20-C20</f>
        <v/>
      </c>
    </row>
    <row r="21">
      <c r="A21" t="n">
        <v>16</v>
      </c>
      <c r="B21">
        <f>'SSF_PI#01 SESSION LOG'!B19</f>
        <v/>
      </c>
      <c r="C21">
        <f>$B$2-($B$2/$B$1)*A21</f>
        <v/>
      </c>
      <c r="D21">
        <f>'SSF_PI#01 SESSION LOG'!H19</f>
        <v/>
      </c>
      <c r="E21">
        <f>D21-C21</f>
        <v/>
      </c>
    </row>
  </sheetData>
  <mergeCells count="1">
    <mergeCell ref="D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style="39" min="1" max="1"/>
    <col width="15" customWidth="1" style="39" min="2" max="2"/>
    <col width="15" customWidth="1" style="39" min="3" max="3"/>
    <col width="15" customWidth="1" style="39" min="4" max="4"/>
    <col width="15" customWidth="1" style="39" min="5" max="5"/>
    <col width="15" customWidth="1" style="39" min="6" max="6"/>
    <col width="15" customWidth="1" style="39" min="7" max="7"/>
    <col width="15" customWidth="1" style="39" min="8" max="8"/>
    <col width="15" customWidth="1" style="39" min="9" max="9"/>
  </cols>
  <sheetData>
    <row r="1">
      <c r="A1" s="57" t="inlineStr">
        <is>
          <t>SSF_PI#02 REFINEMENT SESSION LOG</t>
        </is>
      </c>
    </row>
    <row r="2">
      <c r="A2" s="47" t="inlineStr">
        <is>
          <t>Session #</t>
        </is>
      </c>
      <c r="B2" s="47" t="inlineStr">
        <is>
          <t>Sprint</t>
        </is>
      </c>
      <c r="C2" s="47" t="inlineStr">
        <is>
          <t>Date</t>
        </is>
      </c>
      <c r="D2" s="47" t="inlineStr">
        <is>
          <t>PI(s) Worked</t>
        </is>
      </c>
      <c r="E2" s="47" t="inlineStr">
        <is>
          <t>Target Stories</t>
        </is>
      </c>
      <c r="F2" s="47" t="inlineStr">
        <is>
          <t>Stories Refined</t>
        </is>
      </c>
      <c r="G2" s="47" t="inlineStr">
        <is>
          <t>Cumulative</t>
        </is>
      </c>
      <c r="H2" s="47" t="inlineStr">
        <is>
          <t>Remaining</t>
        </is>
      </c>
      <c r="I2" s="47" t="inlineStr">
        <is>
          <t>Velocity</t>
        </is>
      </c>
    </row>
    <row r="3">
      <c r="A3" t="n">
        <v>1</v>
      </c>
      <c r="B3">
        <f>'SESSION LOG'!B3</f>
        <v/>
      </c>
      <c r="C3">
        <f>'SESSION LOG'!C3</f>
        <v/>
      </c>
      <c r="D3">
        <f>'SESSION LOG'!K3</f>
        <v/>
      </c>
      <c r="E3">
        <f>'SESSION LOG'!E3</f>
        <v/>
      </c>
      <c r="F3">
        <f>IF(ISNUMBER(SEARCH("SSF_PI#02",'SESSION LOG'!K3)),'SESSION LOG'!F3,0)</f>
        <v/>
      </c>
      <c r="G3">
        <f>SUM($F$3:F3)</f>
        <v/>
      </c>
      <c r="H3">
        <f>=COUNTIF('JIRA DATA'!J:J,"SSF_PI#02")-G3</f>
        <v/>
      </c>
      <c r="I3">
        <f>F3</f>
        <v/>
      </c>
    </row>
    <row r="4">
      <c r="A4" t="n">
        <v>2</v>
      </c>
      <c r="B4">
        <f>'SESSION LOG'!B4</f>
        <v/>
      </c>
      <c r="C4">
        <f>'SESSION LOG'!C4</f>
        <v/>
      </c>
      <c r="D4">
        <f>'SESSION LOG'!K4</f>
        <v/>
      </c>
      <c r="E4">
        <f>'SESSION LOG'!E4</f>
        <v/>
      </c>
      <c r="F4">
        <f>IF(ISNUMBER(SEARCH("SSF_PI#02",'SESSION LOG'!K4)),'SESSION LOG'!F4,0)</f>
        <v/>
      </c>
      <c r="G4">
        <f>SUM($F$3:F4)</f>
        <v/>
      </c>
      <c r="H4">
        <f>=COUNTIF('JIRA DATA'!J:J,"SSF_PI#02")-G4</f>
        <v/>
      </c>
      <c r="I4">
        <f>AVERAGE($F$3:F4)</f>
        <v/>
      </c>
    </row>
    <row r="5">
      <c r="A5" t="n">
        <v>3</v>
      </c>
      <c r="B5">
        <f>'SESSION LOG'!B5</f>
        <v/>
      </c>
      <c r="C5">
        <f>'SESSION LOG'!C5</f>
        <v/>
      </c>
      <c r="D5">
        <f>'SESSION LOG'!K5</f>
        <v/>
      </c>
      <c r="E5">
        <f>'SESSION LOG'!E5</f>
        <v/>
      </c>
      <c r="F5">
        <f>IF(ISNUMBER(SEARCH("SSF_PI#02",'SESSION LOG'!K5)),'SESSION LOG'!F5,0)</f>
        <v/>
      </c>
      <c r="G5">
        <f>SUM($F$3:F5)</f>
        <v/>
      </c>
      <c r="H5">
        <f>=COUNTIF('JIRA DATA'!J:J,"SSF_PI#02")-G5</f>
        <v/>
      </c>
      <c r="I5">
        <f>AVERAGE($F$3:F5)</f>
        <v/>
      </c>
    </row>
    <row r="6">
      <c r="A6" t="n">
        <v>4</v>
      </c>
      <c r="B6">
        <f>'SESSION LOG'!B6</f>
        <v/>
      </c>
      <c r="C6">
        <f>'SESSION LOG'!C6</f>
        <v/>
      </c>
      <c r="D6">
        <f>'SESSION LOG'!K6</f>
        <v/>
      </c>
      <c r="E6">
        <f>'SESSION LOG'!E6</f>
        <v/>
      </c>
      <c r="F6">
        <f>IF(ISNUMBER(SEARCH("SSF_PI#02",'SESSION LOG'!K6)),'SESSION LOG'!F6,0)</f>
        <v/>
      </c>
      <c r="G6">
        <f>SUM($F$3:F6)</f>
        <v/>
      </c>
      <c r="H6">
        <f>=COUNTIF('JIRA DATA'!J:J,"SSF_PI#02")-G6</f>
        <v/>
      </c>
      <c r="I6">
        <f>AVERAGE($F$3:F6)</f>
        <v/>
      </c>
    </row>
    <row r="7">
      <c r="A7" t="n">
        <v>5</v>
      </c>
      <c r="B7">
        <f>'SESSION LOG'!B7</f>
        <v/>
      </c>
      <c r="C7">
        <f>'SESSION LOG'!C7</f>
        <v/>
      </c>
      <c r="D7">
        <f>'SESSION LOG'!K7</f>
        <v/>
      </c>
      <c r="E7">
        <f>'SESSION LOG'!E7</f>
        <v/>
      </c>
      <c r="F7">
        <f>IF(ISNUMBER(SEARCH("SSF_PI#02",'SESSION LOG'!K7)),'SESSION LOG'!F7,0)</f>
        <v/>
      </c>
      <c r="G7">
        <f>SUM($F$3:F7)</f>
        <v/>
      </c>
      <c r="H7">
        <f>=COUNTIF('JIRA DATA'!J:J,"SSF_PI#02")-G7</f>
        <v/>
      </c>
      <c r="I7">
        <f>AVERAGE($F$3:F7)</f>
        <v/>
      </c>
    </row>
    <row r="8">
      <c r="A8" t="n">
        <v>6</v>
      </c>
      <c r="B8">
        <f>'SESSION LOG'!B8</f>
        <v/>
      </c>
      <c r="C8">
        <f>'SESSION LOG'!C8</f>
        <v/>
      </c>
      <c r="D8">
        <f>'SESSION LOG'!K8</f>
        <v/>
      </c>
      <c r="E8">
        <f>'SESSION LOG'!E8</f>
        <v/>
      </c>
      <c r="F8">
        <f>IF(ISNUMBER(SEARCH("SSF_PI#02",'SESSION LOG'!K8)),'SESSION LOG'!F8,0)</f>
        <v/>
      </c>
      <c r="G8">
        <f>SUM($F$3:F8)</f>
        <v/>
      </c>
      <c r="H8">
        <f>=COUNTIF('JIRA DATA'!J:J,"SSF_PI#02")-G8</f>
        <v/>
      </c>
      <c r="I8">
        <f>AVERAGE($F$3:F8)</f>
        <v/>
      </c>
    </row>
    <row r="9">
      <c r="A9" t="n">
        <v>7</v>
      </c>
      <c r="B9">
        <f>'SESSION LOG'!B9</f>
        <v/>
      </c>
      <c r="C9">
        <f>'SESSION LOG'!C9</f>
        <v/>
      </c>
      <c r="D9">
        <f>'SESSION LOG'!K9</f>
        <v/>
      </c>
      <c r="E9">
        <f>'SESSION LOG'!E9</f>
        <v/>
      </c>
      <c r="F9">
        <f>IF(ISNUMBER(SEARCH("SSF_PI#02",'SESSION LOG'!K9)),'SESSION LOG'!F9,0)</f>
        <v/>
      </c>
      <c r="G9">
        <f>SUM($F$3:F9)</f>
        <v/>
      </c>
      <c r="H9">
        <f>=COUNTIF('JIRA DATA'!J:J,"SSF_PI#02")-G9</f>
        <v/>
      </c>
      <c r="I9">
        <f>AVERAGE($F$3:F9)</f>
        <v/>
      </c>
    </row>
    <row r="10">
      <c r="A10" t="n">
        <v>8</v>
      </c>
      <c r="B10">
        <f>'SESSION LOG'!B10</f>
        <v/>
      </c>
      <c r="C10">
        <f>'SESSION LOG'!C10</f>
        <v/>
      </c>
      <c r="D10">
        <f>'SESSION LOG'!K10</f>
        <v/>
      </c>
      <c r="E10">
        <f>'SESSION LOG'!E10</f>
        <v/>
      </c>
      <c r="F10">
        <f>IF(ISNUMBER(SEARCH("SSF_PI#02",'SESSION LOG'!K10)),'SESSION LOG'!F10,0)</f>
        <v/>
      </c>
      <c r="G10">
        <f>SUM($F$3:F10)</f>
        <v/>
      </c>
      <c r="H10">
        <f>=COUNTIF('JIRA DATA'!J:J,"SSF_PI#02")-G10</f>
        <v/>
      </c>
      <c r="I10">
        <f>AVERAGE($F$3:F10)</f>
        <v/>
      </c>
    </row>
    <row r="11">
      <c r="A11" t="n">
        <v>9</v>
      </c>
      <c r="B11">
        <f>'SESSION LOG'!B11</f>
        <v/>
      </c>
      <c r="C11">
        <f>'SESSION LOG'!C11</f>
        <v/>
      </c>
      <c r="D11">
        <f>'SESSION LOG'!K11</f>
        <v/>
      </c>
      <c r="E11">
        <f>'SESSION LOG'!E11</f>
        <v/>
      </c>
      <c r="F11">
        <f>IF(ISNUMBER(SEARCH("SSF_PI#02",'SESSION LOG'!K11)),'SESSION LOG'!F11,0)</f>
        <v/>
      </c>
      <c r="G11">
        <f>SUM($F$3:F11)</f>
        <v/>
      </c>
      <c r="H11">
        <f>=COUNTIF('JIRA DATA'!J:J,"SSF_PI#02")-G11</f>
        <v/>
      </c>
      <c r="I11">
        <f>AVERAGE($F$3:F11)</f>
        <v/>
      </c>
    </row>
    <row r="12">
      <c r="A12" t="n">
        <v>10</v>
      </c>
      <c r="B12">
        <f>'SESSION LOG'!B12</f>
        <v/>
      </c>
      <c r="C12">
        <f>'SESSION LOG'!C12</f>
        <v/>
      </c>
      <c r="D12">
        <f>'SESSION LOG'!K12</f>
        <v/>
      </c>
      <c r="E12">
        <f>'SESSION LOG'!E12</f>
        <v/>
      </c>
      <c r="F12">
        <f>IF(ISNUMBER(SEARCH("SSF_PI#02",'SESSION LOG'!K12)),'SESSION LOG'!F12,0)</f>
        <v/>
      </c>
      <c r="G12">
        <f>SUM($F$3:F12)</f>
        <v/>
      </c>
      <c r="H12">
        <f>=COUNTIF('JIRA DATA'!J:J,"SSF_PI#02")-G12</f>
        <v/>
      </c>
      <c r="I12">
        <f>AVERAGE($F$3:F12)</f>
        <v/>
      </c>
    </row>
    <row r="13">
      <c r="A13" t="n">
        <v>11</v>
      </c>
      <c r="B13">
        <f>'SESSION LOG'!B13</f>
        <v/>
      </c>
      <c r="C13">
        <f>'SESSION LOG'!C13</f>
        <v/>
      </c>
      <c r="D13">
        <f>'SESSION LOG'!K13</f>
        <v/>
      </c>
      <c r="E13">
        <f>'SESSION LOG'!E13</f>
        <v/>
      </c>
      <c r="F13">
        <f>IF(ISNUMBER(SEARCH("SSF_PI#02",'SESSION LOG'!K13)),'SESSION LOG'!F13,0)</f>
        <v/>
      </c>
      <c r="G13">
        <f>SUM($F$3:F13)</f>
        <v/>
      </c>
      <c r="H13">
        <f>=COUNTIF('JIRA DATA'!J:J,"SSF_PI#02")-G13</f>
        <v/>
      </c>
      <c r="I13">
        <f>AVERAGE($F$3:F13)</f>
        <v/>
      </c>
    </row>
    <row r="14">
      <c r="A14" t="n">
        <v>12</v>
      </c>
      <c r="B14">
        <f>'SESSION LOG'!B14</f>
        <v/>
      </c>
      <c r="C14">
        <f>'SESSION LOG'!C14</f>
        <v/>
      </c>
      <c r="D14">
        <f>'SESSION LOG'!K14</f>
        <v/>
      </c>
      <c r="E14">
        <f>'SESSION LOG'!E14</f>
        <v/>
      </c>
      <c r="F14">
        <f>IF(ISNUMBER(SEARCH("SSF_PI#02",'SESSION LOG'!K14)),'SESSION LOG'!F14,0)</f>
        <v/>
      </c>
      <c r="G14">
        <f>SUM($F$3:F14)</f>
        <v/>
      </c>
      <c r="H14">
        <f>=COUNTIF('JIRA DATA'!J:J,"SSF_PI#02")-G14</f>
        <v/>
      </c>
      <c r="I14">
        <f>AVERAGE($F$3:F14)</f>
        <v/>
      </c>
    </row>
    <row r="15">
      <c r="A15" t="n">
        <v>13</v>
      </c>
      <c r="B15">
        <f>'SESSION LOG'!B15</f>
        <v/>
      </c>
      <c r="C15">
        <f>'SESSION LOG'!C15</f>
        <v/>
      </c>
      <c r="D15">
        <f>'SESSION LOG'!K15</f>
        <v/>
      </c>
      <c r="E15">
        <f>'SESSION LOG'!E15</f>
        <v/>
      </c>
      <c r="F15">
        <f>IF(ISNUMBER(SEARCH("SSF_PI#02",'SESSION LOG'!K15)),'SESSION LOG'!F15,0)</f>
        <v/>
      </c>
      <c r="G15">
        <f>SUM($F$3:F15)</f>
        <v/>
      </c>
      <c r="H15">
        <f>=COUNTIF('JIRA DATA'!J:J,"SSF_PI#02")-G15</f>
        <v/>
      </c>
      <c r="I15">
        <f>AVERAGE($F$3:F15)</f>
        <v/>
      </c>
    </row>
    <row r="16">
      <c r="A16" t="n">
        <v>14</v>
      </c>
      <c r="B16">
        <f>'SESSION LOG'!B16</f>
        <v/>
      </c>
      <c r="C16">
        <f>'SESSION LOG'!C16</f>
        <v/>
      </c>
      <c r="D16">
        <f>'SESSION LOG'!K16</f>
        <v/>
      </c>
      <c r="E16">
        <f>'SESSION LOG'!E16</f>
        <v/>
      </c>
      <c r="F16">
        <f>IF(ISNUMBER(SEARCH("SSF_PI#02",'SESSION LOG'!K16)),'SESSION LOG'!F16,0)</f>
        <v/>
      </c>
      <c r="G16">
        <f>SUM($F$3:F16)</f>
        <v/>
      </c>
      <c r="H16">
        <f>=COUNTIF('JIRA DATA'!J:J,"SSF_PI#02")-G16</f>
        <v/>
      </c>
      <c r="I16">
        <f>AVERAGE($F$3:F16)</f>
        <v/>
      </c>
    </row>
    <row r="17">
      <c r="A17" t="n">
        <v>15</v>
      </c>
      <c r="B17">
        <f>'SESSION LOG'!B17</f>
        <v/>
      </c>
      <c r="C17">
        <f>'SESSION LOG'!C17</f>
        <v/>
      </c>
      <c r="D17">
        <f>'SESSION LOG'!K17</f>
        <v/>
      </c>
      <c r="E17">
        <f>'SESSION LOG'!E17</f>
        <v/>
      </c>
      <c r="F17">
        <f>IF(ISNUMBER(SEARCH("SSF_PI#02",'SESSION LOG'!K17)),'SESSION LOG'!F17,0)</f>
        <v/>
      </c>
      <c r="G17">
        <f>SUM($F$3:F17)</f>
        <v/>
      </c>
      <c r="H17">
        <f>=COUNTIF('JIRA DATA'!J:J,"SSF_PI#02")-G17</f>
        <v/>
      </c>
      <c r="I17">
        <f>AVERAGE($F$3:F17)</f>
        <v/>
      </c>
    </row>
    <row r="18">
      <c r="A18" t="n">
        <v>16</v>
      </c>
      <c r="B18">
        <f>'SESSION LOG'!B18</f>
        <v/>
      </c>
      <c r="C18">
        <f>'SESSION LOG'!C18</f>
        <v/>
      </c>
      <c r="D18">
        <f>'SESSION LOG'!K18</f>
        <v/>
      </c>
      <c r="E18">
        <f>'SESSION LOG'!E18</f>
        <v/>
      </c>
      <c r="F18">
        <f>IF(ISNUMBER(SEARCH("SSF_PI#02",'SESSION LOG'!K18)),'SESSION LOG'!F18,0)</f>
        <v/>
      </c>
      <c r="G18">
        <f>SUM($F$3:F18)</f>
        <v/>
      </c>
      <c r="H18">
        <f>=COUNTIF('JIRA DATA'!J:J,"SSF_PI#02")-G18</f>
        <v/>
      </c>
      <c r="I18">
        <f>AVERAGE($F$3:F18)</f>
        <v/>
      </c>
    </row>
    <row r="19">
      <c r="A19" t="n">
        <v>17</v>
      </c>
      <c r="B19">
        <f>'SESSION LOG'!B19</f>
        <v/>
      </c>
      <c r="C19">
        <f>'SESSION LOG'!C19</f>
        <v/>
      </c>
      <c r="D19">
        <f>'SESSION LOG'!K19</f>
        <v/>
      </c>
      <c r="E19">
        <f>'SESSION LOG'!E19</f>
        <v/>
      </c>
      <c r="F19">
        <f>IF(ISNUMBER(SEARCH("SSF_PI#02",'SESSION LOG'!K19)),'SESSION LOG'!F19,0)</f>
        <v/>
      </c>
      <c r="G19">
        <f>SUM($F$3:F19)</f>
        <v/>
      </c>
      <c r="H19">
        <f>=COUNTIF('JIRA DATA'!J:J,"SSF_PI#02")-G19</f>
        <v/>
      </c>
      <c r="I19">
        <f>AVERAGE($F$3:F19)</f>
        <v/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style="39" min="1" max="1"/>
    <col width="15" customWidth="1" style="39" min="2" max="2"/>
    <col width="15" customWidth="1" style="39" min="3" max="3"/>
    <col width="15" customWidth="1" style="39" min="4" max="4"/>
    <col width="15" customWidth="1" style="39" min="5" max="5"/>
  </cols>
  <sheetData>
    <row r="1">
      <c r="A1" s="55" t="inlineStr">
        <is>
          <t>TARGET SESSIONS:</t>
        </is>
      </c>
      <c r="B1" s="56" t="n">
        <v>15</v>
      </c>
      <c r="D1" s="57" t="inlineStr">
        <is>
          <t>SSF_PI#02 BURNDOWN DATA</t>
        </is>
      </c>
    </row>
    <row r="2">
      <c r="A2" s="55" t="inlineStr">
        <is>
          <t>TOTAL STORIES:</t>
        </is>
      </c>
      <c r="B2" s="55">
        <f>COUNTIF('JIRA DATA'!J:J,"SSF_PI#02")</f>
        <v/>
      </c>
    </row>
    <row r="4">
      <c r="A4" s="47" t="inlineStr">
        <is>
          <t>Session #</t>
        </is>
      </c>
      <c r="B4" s="47" t="inlineStr">
        <is>
          <t>Sprint</t>
        </is>
      </c>
      <c r="C4" s="47" t="inlineStr">
        <is>
          <t>IDEAL Remaining</t>
        </is>
      </c>
      <c r="D4" s="47" t="inlineStr">
        <is>
          <t>ACTUAL Remaining</t>
        </is>
      </c>
      <c r="E4" s="47" t="inlineStr">
        <is>
          <t>Variance</t>
        </is>
      </c>
      <c r="G4" s="58" t="inlineStr">
        <is>
          <t>TO CREATE CHART:</t>
        </is>
      </c>
    </row>
    <row r="5">
      <c r="A5" t="n">
        <v>0</v>
      </c>
      <c r="B5">
        <f>'SSF_PI#02 SESSION LOG'!B3</f>
        <v/>
      </c>
      <c r="C5">
        <f>$B$2-($B$2/$B$1)*A5</f>
        <v/>
      </c>
      <c r="D5">
        <f>'SSF_PI#02 SESSION LOG'!H3</f>
        <v/>
      </c>
      <c r="E5">
        <f>D5-C5</f>
        <v/>
      </c>
      <c r="G5" t="inlineStr">
        <is>
          <t>1. Select cells C4:D21</t>
        </is>
      </c>
    </row>
    <row r="6">
      <c r="A6" t="n">
        <v>1</v>
      </c>
      <c r="B6">
        <f>'SSF_PI#02 SESSION LOG'!B4</f>
        <v/>
      </c>
      <c r="C6">
        <f>$B$2-($B$2/$B$1)*A6</f>
        <v/>
      </c>
      <c r="D6">
        <f>'SSF_PI#02 SESSION LOG'!H4</f>
        <v/>
      </c>
      <c r="E6">
        <f>D6-C6</f>
        <v/>
      </c>
      <c r="G6" t="inlineStr">
        <is>
          <t>2. Insert &gt; Chart &gt; Line</t>
        </is>
      </c>
    </row>
    <row r="7">
      <c r="A7" t="n">
        <v>2</v>
      </c>
      <c r="B7">
        <f>'SSF_PI#02 SESSION LOG'!B5</f>
        <v/>
      </c>
      <c r="C7">
        <f>$B$2-($B$2/$B$1)*A7</f>
        <v/>
      </c>
      <c r="D7">
        <f>'SSF_PI#02 SESSION LOG'!H5</f>
        <v/>
      </c>
      <c r="E7">
        <f>D7-C7</f>
        <v/>
      </c>
      <c r="G7" t="inlineStr">
        <is>
          <t>3. Title: See cell D1</t>
        </is>
      </c>
    </row>
    <row r="8">
      <c r="A8" t="n">
        <v>3</v>
      </c>
      <c r="B8">
        <f>'SSF_PI#02 SESSION LOG'!B6</f>
        <v/>
      </c>
      <c r="C8">
        <f>$B$2-($B$2/$B$1)*A8</f>
        <v/>
      </c>
      <c r="D8">
        <f>'SSF_PI#02 SESSION LOG'!H6</f>
        <v/>
      </c>
      <c r="E8">
        <f>D8-C8</f>
        <v/>
      </c>
    </row>
    <row r="9">
      <c r="A9" t="n">
        <v>4</v>
      </c>
      <c r="B9">
        <f>'SSF_PI#02 SESSION LOG'!B7</f>
        <v/>
      </c>
      <c r="C9">
        <f>$B$2-($B$2/$B$1)*A9</f>
        <v/>
      </c>
      <c r="D9">
        <f>'SSF_PI#02 SESSION LOG'!H7</f>
        <v/>
      </c>
      <c r="E9">
        <f>D9-C9</f>
        <v/>
      </c>
    </row>
    <row r="10">
      <c r="A10" t="n">
        <v>5</v>
      </c>
      <c r="B10">
        <f>'SSF_PI#02 SESSION LOG'!B8</f>
        <v/>
      </c>
      <c r="C10">
        <f>$B$2-($B$2/$B$1)*A10</f>
        <v/>
      </c>
      <c r="D10">
        <f>'SSF_PI#02 SESSION LOG'!H8</f>
        <v/>
      </c>
      <c r="E10">
        <f>D10-C10</f>
        <v/>
      </c>
    </row>
    <row r="11">
      <c r="A11" t="n">
        <v>6</v>
      </c>
      <c r="B11">
        <f>'SSF_PI#02 SESSION LOG'!B9</f>
        <v/>
      </c>
      <c r="C11">
        <f>$B$2-($B$2/$B$1)*A11</f>
        <v/>
      </c>
      <c r="D11">
        <f>'SSF_PI#02 SESSION LOG'!H9</f>
        <v/>
      </c>
      <c r="E11">
        <f>D11-C11</f>
        <v/>
      </c>
    </row>
    <row r="12">
      <c r="A12" t="n">
        <v>7</v>
      </c>
      <c r="B12">
        <f>'SSF_PI#02 SESSION LOG'!B10</f>
        <v/>
      </c>
      <c r="C12">
        <f>$B$2-($B$2/$B$1)*A12</f>
        <v/>
      </c>
      <c r="D12">
        <f>'SSF_PI#02 SESSION LOG'!H10</f>
        <v/>
      </c>
      <c r="E12">
        <f>D12-C12</f>
        <v/>
      </c>
    </row>
    <row r="13">
      <c r="A13" t="n">
        <v>8</v>
      </c>
      <c r="B13">
        <f>'SSF_PI#02 SESSION LOG'!B11</f>
        <v/>
      </c>
      <c r="C13">
        <f>$B$2-($B$2/$B$1)*A13</f>
        <v/>
      </c>
      <c r="D13">
        <f>'SSF_PI#02 SESSION LOG'!H11</f>
        <v/>
      </c>
      <c r="E13">
        <f>D13-C13</f>
        <v/>
      </c>
    </row>
    <row r="14">
      <c r="A14" t="n">
        <v>9</v>
      </c>
      <c r="B14">
        <f>'SSF_PI#02 SESSION LOG'!B12</f>
        <v/>
      </c>
      <c r="C14">
        <f>$B$2-($B$2/$B$1)*A14</f>
        <v/>
      </c>
      <c r="D14">
        <f>'SSF_PI#02 SESSION LOG'!H12</f>
        <v/>
      </c>
      <c r="E14">
        <f>D14-C14</f>
        <v/>
      </c>
    </row>
    <row r="15">
      <c r="A15" t="n">
        <v>10</v>
      </c>
      <c r="B15">
        <f>'SSF_PI#02 SESSION LOG'!B13</f>
        <v/>
      </c>
      <c r="C15">
        <f>$B$2-($B$2/$B$1)*A15</f>
        <v/>
      </c>
      <c r="D15">
        <f>'SSF_PI#02 SESSION LOG'!H13</f>
        <v/>
      </c>
      <c r="E15">
        <f>D15-C15</f>
        <v/>
      </c>
    </row>
    <row r="16">
      <c r="A16" t="n">
        <v>11</v>
      </c>
      <c r="B16">
        <f>'SSF_PI#02 SESSION LOG'!B14</f>
        <v/>
      </c>
      <c r="C16">
        <f>$B$2-($B$2/$B$1)*A16</f>
        <v/>
      </c>
      <c r="D16">
        <f>'SSF_PI#02 SESSION LOG'!H14</f>
        <v/>
      </c>
      <c r="E16">
        <f>D16-C16</f>
        <v/>
      </c>
    </row>
    <row r="17">
      <c r="A17" t="n">
        <v>12</v>
      </c>
      <c r="B17">
        <f>'SSF_PI#02 SESSION LOG'!B15</f>
        <v/>
      </c>
      <c r="C17">
        <f>$B$2-($B$2/$B$1)*A17</f>
        <v/>
      </c>
      <c r="D17">
        <f>'SSF_PI#02 SESSION LOG'!H15</f>
        <v/>
      </c>
      <c r="E17">
        <f>D17-C17</f>
        <v/>
      </c>
    </row>
    <row r="18">
      <c r="A18" t="n">
        <v>13</v>
      </c>
      <c r="B18">
        <f>'SSF_PI#02 SESSION LOG'!B16</f>
        <v/>
      </c>
      <c r="C18">
        <f>$B$2-($B$2/$B$1)*A18</f>
        <v/>
      </c>
      <c r="D18">
        <f>'SSF_PI#02 SESSION LOG'!H16</f>
        <v/>
      </c>
      <c r="E18">
        <f>D18-C18</f>
        <v/>
      </c>
    </row>
    <row r="19">
      <c r="A19" t="n">
        <v>14</v>
      </c>
      <c r="B19">
        <f>'SSF_PI#02 SESSION LOG'!B17</f>
        <v/>
      </c>
      <c r="C19">
        <f>$B$2-($B$2/$B$1)*A19</f>
        <v/>
      </c>
      <c r="D19">
        <f>'SSF_PI#02 SESSION LOG'!H17</f>
        <v/>
      </c>
      <c r="E19">
        <f>D19-C19</f>
        <v/>
      </c>
    </row>
    <row r="20">
      <c r="A20" t="n">
        <v>15</v>
      </c>
      <c r="B20">
        <f>'SSF_PI#02 SESSION LOG'!B18</f>
        <v/>
      </c>
      <c r="C20">
        <f>$B$2-($B$2/$B$1)*A20</f>
        <v/>
      </c>
      <c r="D20">
        <f>'SSF_PI#02 SESSION LOG'!H18</f>
        <v/>
      </c>
      <c r="E20">
        <f>D20-C20</f>
        <v/>
      </c>
    </row>
    <row r="21">
      <c r="A21" t="n">
        <v>16</v>
      </c>
      <c r="B21">
        <f>'SSF_PI#02 SESSION LOG'!B19</f>
        <v/>
      </c>
      <c r="C21">
        <f>$B$2-($B$2/$B$1)*A21</f>
        <v/>
      </c>
      <c r="D21">
        <f>'SSF_PI#02 SESSION LOG'!H19</f>
        <v/>
      </c>
      <c r="E21">
        <f>D21-C21</f>
        <v/>
      </c>
    </row>
  </sheetData>
  <mergeCells count="1"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2025-11-10T12:24:42Z</dcterms:created>
  <dcterms:modified xsi:type="dcterms:W3CDTF">2025-11-15T16:51:07Z</dcterms:modified>
  <cp:lastModifiedBy>PALAZZO, Nicolas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0x0101001458CAFADDAE6247B2FF41C6D80906E2</vt:lpwstr>
  </property>
  <property name="MediaServiceImageTags" fmtid="{D5CDD505-2E9C-101B-9397-08002B2CF9AE}" pid="3">
    <vt:lpwstr/>
  </property>
</Properties>
</file>
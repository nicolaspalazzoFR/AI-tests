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SSION LOG" sheetId="2" state="visible" r:id="rId2"/>
    <sheet name="BURNDOWN CHART DATA" sheetId="3" state="visible" r:id="rId3"/>
    <sheet name="BURNUP CHART DATA" sheetId="4" state="visible" r:id="rId4"/>
    <sheet name="EPIC PROGRESS" sheetId="5" state="visible" r:id="rId5"/>
    <sheet name="SESSION CALEND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Burndown Chart - Stories Remaining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CHART DATA'!C2</f>
            </strRef>
          </tx>
          <spPr>
            <a:ln w="30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'BURNDOWN CHART DATA'!$A$3:$A$18</f>
            </numRef>
          </cat>
          <val>
            <numRef>
              <f>'BURNDOWN CHART DATA'!$C$3:$C$18</f>
            </numRef>
          </val>
          <smooth val="1"/>
        </ser>
        <ser>
          <idx val="1"/>
          <order val="1"/>
          <tx>
            <strRef>
              <f>'BURNDOWN CHART DATA'!D2</f>
            </strRef>
          </tx>
          <spPr>
            <a:ln w="30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'BURNDOWN CHART DATA'!$A$3:$A$18</f>
            </numRef>
          </cat>
          <val>
            <numRef>
              <f>'BURNDOWN CHART DATA'!$D$3:$D$18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Stories Remaining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Burnup Chart - Stories Refined</a:t>
            </a:r>
          </a:p>
        </rich>
      </tx>
    </title>
    <plotArea>
      <lineChart>
        <grouping val="standard"/>
        <ser>
          <idx val="0"/>
          <order val="0"/>
          <tx>
            <strRef>
              <f>'BURNUP CHART DATA'!C2</f>
            </strRef>
          </tx>
          <spPr>
            <a:ln w="30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'BURNUP CHART DATA'!$A$3:$A$18</f>
            </numRef>
          </cat>
          <val>
            <numRef>
              <f>'BURNUP CHART DATA'!$C$3:$C$18</f>
            </numRef>
          </val>
          <smooth val="1"/>
        </ser>
        <ser>
          <idx val="1"/>
          <order val="1"/>
          <tx>
            <strRef>
              <f>'BURNUP CHART DATA'!D2</f>
            </strRef>
          </tx>
          <spPr>
            <a:ln w="30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'BURNUP CHART DATA'!$A$3:$A$18</f>
            </numRef>
          </cat>
          <val>
            <numRef>
              <f>'BURNUP CHART DATA'!$D$3:$D$18</f>
            </numRef>
          </val>
          <smooth val="1"/>
        </ser>
        <ser>
          <idx val="2"/>
          <order val="2"/>
          <tx>
            <strRef>
              <f>'BURNUP CHART DATA'!E2</f>
            </strRef>
          </tx>
          <spPr>
            <a:ln w="20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'BURNUP CHART DATA'!$A$3:$A$18</f>
            </numRef>
          </cat>
          <val>
            <numRef>
              <f>'BURNUP CHART DATA'!$E$3:$E$18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Stories Refined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12" customWidth="1" min="7" max="7"/>
  </cols>
  <sheetData>
    <row r="1">
      <c r="A1" s="1" t="inlineStr">
        <is>
          <t>REFINEMENT TRACKER - DASHBOARD</t>
        </is>
      </c>
    </row>
    <row r="2">
      <c r="A2" t="inlineStr">
        <is>
          <t>Last Updated</t>
        </is>
      </c>
      <c r="B2">
        <f>TODAY()</f>
        <v/>
      </c>
      <c r="C2" t="inlineStr">
        <is>
          <t>Current Sprint</t>
        </is>
      </c>
      <c r="D2" t="n">
        <v>1</v>
      </c>
    </row>
    <row r="4">
      <c r="A4" t="inlineStr">
        <is>
          <t>QUICK METRICS</t>
        </is>
      </c>
    </row>
    <row r="6">
      <c r="A6" t="inlineStr">
        <is>
          <t>Total Stories</t>
        </is>
      </c>
      <c r="C6" t="n">
        <v>91</v>
      </c>
      <c r="E6" t="inlineStr">
        <is>
          <t>Status</t>
        </is>
      </c>
      <c r="F6">
        <f>IF(F9="","-",IF(F9&gt;=6.5,"🟢 On Track",IF(F9&gt;=4,"🟡 At Risk","🔴 Critical")))</f>
        <v/>
      </c>
    </row>
    <row r="7">
      <c r="A7" t="inlineStr">
        <is>
          <t>To Refine (Open)</t>
        </is>
      </c>
      <c r="C7" t="n">
        <v>84</v>
      </c>
      <c r="E7" t="inlineStr">
        <is>
          <t>Risk Level</t>
        </is>
      </c>
      <c r="F7">
        <f>IF(C10&gt;60,"🔴 HIGH",IF(C10&gt;40,"🟡 MEDIUM","🟢 LOW"))</f>
        <v/>
      </c>
    </row>
    <row r="8">
      <c r="A8" t="inlineStr">
        <is>
          <t>Already Refined (Ready)</t>
        </is>
      </c>
      <c r="C8" t="n">
        <v>7</v>
      </c>
    </row>
    <row r="9">
      <c r="A9" t="inlineStr">
        <is>
          <t>Completed So Far</t>
        </is>
      </c>
      <c r="C9">
        <f>SUM('SESSION LOG'!F:F)</f>
        <v/>
      </c>
      <c r="E9" t="inlineStr">
        <is>
          <t>Current Velocity</t>
        </is>
      </c>
      <c r="F9">
        <f>IF(COUNTA('SESSION LOG'!F2:F16)=0,0,AVERAGE('SESSION LOG'!F2:F16))</f>
        <v/>
      </c>
    </row>
    <row r="10">
      <c r="A10" t="inlineStr">
        <is>
          <t>Remaining</t>
        </is>
      </c>
      <c r="C10">
        <f>IF(ISBLANK(C9),84,84-C9)</f>
        <v/>
      </c>
      <c r="E10" t="inlineStr">
        <is>
          <t>Target Velocity</t>
        </is>
      </c>
      <c r="F10" t="n">
        <v>6.5</v>
      </c>
    </row>
    <row r="11">
      <c r="A11" t="inlineStr">
        <is>
          <t>Progress %</t>
        </is>
      </c>
      <c r="C11">
        <f>IF(C9=0,0,C9/84*100)</f>
        <v/>
      </c>
      <c r="E11" t="inlineStr">
        <is>
          <t>Projected Completion</t>
        </is>
      </c>
      <c r="F11">
        <f>IF(OR(F9=0,F9=""),"TBD","Sprint "&amp;ROUNDUP(C10/F9/3+1,0))</f>
        <v/>
      </c>
    </row>
    <row r="13">
      <c r="A13" t="inlineStr">
        <is>
          <t>SESSION SUMMARY (LAST 3)</t>
        </is>
      </c>
    </row>
    <row r="14">
      <c r="B14" s="1" t="inlineStr">
        <is>
          <t>Session</t>
        </is>
      </c>
      <c r="C14" s="1" t="inlineStr">
        <is>
          <t>Sprint</t>
        </is>
      </c>
      <c r="D14" s="1" t="inlineStr">
        <is>
          <t>Date</t>
        </is>
      </c>
      <c r="E14" s="1" t="inlineStr">
        <is>
          <t>Stories Refined</t>
        </is>
      </c>
      <c r="F14" s="1" t="inlineStr">
        <is>
          <t>Cumulative</t>
        </is>
      </c>
      <c r="G14" s="1" t="inlineStr">
        <is>
          <t>Status</t>
        </is>
      </c>
    </row>
    <row r="15">
      <c r="B15">
        <f>IF(COUNTA('SESSION LOG'!A:A)&lt;=1,"",INDEX('SESSION LOG'!A:A,COUNTA('SESSION LOG'!A:A)))</f>
        <v/>
      </c>
      <c r="C15">
        <f>IF(COUNTA('SESSION LOG'!A:A)&lt;=1,"",INDEX('SESSION LOG'!B:B,COUNTA('SESSION LOG'!A:A)))</f>
        <v/>
      </c>
      <c r="D15">
        <f>IF(COUNTA('SESSION LOG'!A:A)&lt;=1,"",INDEX('SESSION LOG'!C:C,COUNTA('SESSION LOG'!A:A)))</f>
        <v/>
      </c>
      <c r="E15">
        <f>IF(COUNTA('SESSION LOG'!A:A)&lt;=1,"",INDEX('SESSION LOG'!F:F,COUNTA('SESSION LOG'!A:A)))</f>
        <v/>
      </c>
      <c r="F15">
        <f>IF(COUNTA('SESSION LOG'!A:A)&lt;=1,"",INDEX('SESSION LOG'!G:G,COUNTA('SESSION LOG'!A:A)))</f>
        <v/>
      </c>
      <c r="G15">
        <f>IF(COUNTA('SESSION LOG'!A:A)&lt;=1,"",INDEX('SESSION LOG'!J:J,COUNTA('SESSION LOG'!A:A)))</f>
        <v/>
      </c>
    </row>
    <row r="16">
      <c r="B16">
        <f>IF(COUNTA('SESSION LOG'!A:A)&lt;=2,"",INDEX('SESSION LOG'!A:A,COUNTA('SESSION LOG'!A:A)-1))</f>
        <v/>
      </c>
      <c r="C16">
        <f>IF(COUNTA('SESSION LOG'!A:A)&lt;=2,"",INDEX('SESSION LOG'!B:B,COUNTA('SESSION LOG'!A:A)-1))</f>
        <v/>
      </c>
      <c r="D16">
        <f>IF(COUNTA('SESSION LOG'!A:A)&lt;=2,"",INDEX('SESSION LOG'!C:C,COUNTA('SESSION LOG'!A:A)-1))</f>
        <v/>
      </c>
      <c r="E16">
        <f>IF(COUNTA('SESSION LOG'!A:A)&lt;=2,"",INDEX('SESSION LOG'!F:F,COUNTA('SESSION LOG'!A:A)-1))</f>
        <v/>
      </c>
      <c r="F16">
        <f>IF(COUNTA('SESSION LOG'!A:A)&lt;=2,"",INDEX('SESSION LOG'!G:G,COUNTA('SESSION LOG'!A:A)-1))</f>
        <v/>
      </c>
      <c r="G16">
        <f>IF(COUNTA('SESSION LOG'!A:A)&lt;=2,"",INDEX('SESSION LOG'!J:J,COUNTA('SESSION LOG'!A:A)-1))</f>
        <v/>
      </c>
    </row>
    <row r="17">
      <c r="B17">
        <f>IF(COUNTA('SESSION LOG'!A:A)&lt;=3,"",INDEX('SESSION LOG'!A:A,COUNTA('SESSION LOG'!A:A)-2))</f>
        <v/>
      </c>
      <c r="C17">
        <f>IF(COUNTA('SESSION LOG'!A:A)&lt;=3,"",INDEX('SESSION LOG'!B:B,COUNTA('SESSION LOG'!A:A)-2))</f>
        <v/>
      </c>
      <c r="D17">
        <f>IF(COUNTA('SESSION LOG'!A:A)&lt;=3,"",INDEX('SESSION LOG'!C:C,COUNTA('SESSION LOG'!A:A)-2))</f>
        <v/>
      </c>
      <c r="E17">
        <f>IF(COUNTA('SESSION LOG'!A:A)&lt;=3,"",INDEX('SESSION LOG'!F:F,COUNTA('SESSION LOG'!A:A)-2))</f>
        <v/>
      </c>
      <c r="F17">
        <f>IF(COUNTA('SESSION LOG'!A:A)&lt;=3,"",INDEX('SESSION LOG'!G:G,COUNTA('SESSION LOG'!A:A)-2))</f>
        <v/>
      </c>
      <c r="G17">
        <f>IF(COUNTA('SESSION LOG'!A:A)&lt;=3,"",INDEX('SESSION LOG'!J:J,COUNTA('SESSION LOG'!A:A)-2))</f>
        <v/>
      </c>
    </row>
    <row r="19">
      <c r="A19" t="inlineStr">
        <is>
          <t>WEEKLY REPORT (Auto-Generated)</t>
        </is>
      </c>
    </row>
    <row r="20">
      <c r="A20" t="inlineStr">
        <is>
          <t>Report Text</t>
        </is>
      </c>
      <c r="B20" s="2">
        <f>"REFINEMENT PROGRESS - Week of "&amp;TEXT(TODAY(),"MMM DD, YYYY")&amp;CHAR(10)&amp;CHAR(10)&amp;"✅ STORIES REFINED THIS WEEK"&amp;CHAR(10)&amp;"   • Sessions conducted: "&amp;COUNTIFS('SESSION LOG'!C:C,"&gt;="&amp;TODAY()-7,'SESSION LOG'!C:C,"&lt;="&amp;TODAY())&amp;CHAR(10)&amp;"   • Stories moved to Ready: "&amp;SUMIFS('SESSION LOG'!F:F,'SESSION LOG'!C:C,"&gt;="&amp;TODAY()-7,'SESSION LOG'!C:C,"&lt;="&amp;TODAY())&amp;CHAR(10)&amp;"   • Cumulative progress: "&amp;C9&amp;"/84 ("&amp;ROUND(C11,0)&amp;"%)"&amp;CHAR(10)&amp;CHAR(10)&amp;"📈 VELOCITY METRICS"&amp;CHAR(10)&amp;"   • Current velocity: "&amp;ROUND(F9,1)&amp;" stories/session"&amp;CHAR(10)&amp;"   • Target velocity: 6.5 stories/session"&amp;CHAR(10)&amp;"   • Status: "&amp;F6&amp;CHAR(10)&amp;CHAR(10)&amp;"📅 TIMELINE"&amp;CHAR(10)&amp;"   • Sessions remaining: "&amp;(15-COUNTA('SESSION LOG'!F2:F16))&amp;CHAR(10)&amp;"   • Projected completion: "&amp;F11&amp;CHAR(10)&amp;"   • On track for Sprint 5: "&amp;IF(F11="Sprint 5","YES ✅",IF(F11="Sprint 6","ALMOST ⚠️","NO ❌"))</f>
        <v/>
      </c>
    </row>
    <row r="21"/>
    <row r="22"/>
    <row r="23"/>
    <row r="24"/>
    <row r="25"/>
  </sheetData>
  <mergeCells count="4">
    <mergeCell ref="A13:G13"/>
    <mergeCell ref="A19:G19"/>
    <mergeCell ref="B20:G25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8" customWidth="1" min="10" max="10"/>
    <col width="30" customWidth="1" min="11" max="11"/>
  </cols>
  <sheetData>
    <row r="1">
      <c r="A1" s="1" t="inlineStr">
        <is>
          <t>SESSION LOG - Data Entry (Update After Each Session)</t>
        </is>
      </c>
    </row>
    <row r="2">
      <c r="A2" s="1" t="inlineStr">
        <is>
          <t>Session #</t>
        </is>
      </c>
      <c r="B2" s="1" t="inlineStr">
        <is>
          <t>Sprint</t>
        </is>
      </c>
      <c r="C2" s="1" t="inlineStr">
        <is>
          <t>Date</t>
        </is>
      </c>
      <c r="D2" s="1" t="inlineStr">
        <is>
          <t>Day</t>
        </is>
      </c>
      <c r="E2" s="1" t="inlineStr">
        <is>
          <t>Target Stories</t>
        </is>
      </c>
      <c r="F2" s="1" t="inlineStr">
        <is>
          <t>Stories Refined</t>
        </is>
      </c>
      <c r="G2" s="1" t="inlineStr">
        <is>
          <t>Cumulative</t>
        </is>
      </c>
      <c r="H2" s="1" t="inlineStr">
        <is>
          <t>Remaining</t>
        </is>
      </c>
      <c r="I2" s="1" t="inlineStr">
        <is>
          <t>Velocity</t>
        </is>
      </c>
      <c r="J2" s="1" t="inlineStr">
        <is>
          <t>Status</t>
        </is>
      </c>
      <c r="K2" s="1" t="inlineStr">
        <is>
          <t>Notes/Blockers</t>
        </is>
      </c>
    </row>
    <row r="3">
      <c r="A3" t="n">
        <v>1</v>
      </c>
      <c r="B3" t="n">
        <v>1</v>
      </c>
      <c r="C3" t="inlineStr">
        <is>
          <t>2025-11-05</t>
        </is>
      </c>
      <c r="D3" t="inlineStr">
        <is>
          <t>Tuesday</t>
        </is>
      </c>
      <c r="E3" t="n">
        <v>7</v>
      </c>
      <c r="F3" t="n">
        <v>0</v>
      </c>
      <c r="G3">
        <f>SUM($F$3:F3)</f>
        <v/>
      </c>
      <c r="H3">
        <f>84-G3</f>
        <v/>
      </c>
      <c r="I3">
        <f>F3</f>
        <v/>
      </c>
      <c r="J3">
        <f>IF(ISBLANK(I3),"",IF(I3&gt;=6.5,"🟢",IF(I3&gt;=4,"🟡","🔴")))</f>
        <v/>
      </c>
      <c r="K3" t="inlineStr">
        <is>
          <t>Learning session</t>
        </is>
      </c>
    </row>
    <row r="4">
      <c r="A4" t="n">
        <v>2</v>
      </c>
      <c r="B4" t="n">
        <v>1</v>
      </c>
      <c r="C4" t="inlineStr">
        <is>
          <t>2025-11-07</t>
        </is>
      </c>
      <c r="D4" t="inlineStr">
        <is>
          <t>Thursday</t>
        </is>
      </c>
      <c r="E4" t="n">
        <v>7</v>
      </c>
      <c r="F4" t="n">
        <v>1</v>
      </c>
      <c r="G4">
        <f>SUM($F$3:F4)</f>
        <v/>
      </c>
      <c r="H4">
        <f>84-G4</f>
        <v/>
      </c>
      <c r="I4">
        <f>F4</f>
        <v/>
      </c>
      <c r="J4">
        <f>IF(ISBLANK(I4),"",IF(I4&gt;=6.5,"🟢",IF(I4&gt;=4,"🟡","🔴")))</f>
        <v/>
      </c>
      <c r="K4" t="inlineStr">
        <is>
          <t>Team alignment</t>
        </is>
      </c>
    </row>
    <row r="5">
      <c r="A5" t="n">
        <v>3</v>
      </c>
      <c r="B5" t="n">
        <v>1</v>
      </c>
      <c r="C5" t="inlineStr">
        <is>
          <t>2025-11-12</t>
        </is>
      </c>
      <c r="D5" t="inlineStr">
        <is>
          <t>Tuesday</t>
        </is>
      </c>
      <c r="E5" t="n">
        <v>7</v>
      </c>
      <c r="G5">
        <f>SUM($F$3:F5)</f>
        <v/>
      </c>
      <c r="H5">
        <f>84-G5</f>
        <v/>
      </c>
      <c r="I5">
        <f>F5</f>
        <v/>
      </c>
      <c r="J5">
        <f>IF(ISBLANK(I5),"",IF(I5&gt;=6.5,"🟢",IF(I5&gt;=4,"🟡","🔴")))</f>
        <v/>
      </c>
      <c r="K5" t="inlineStr"/>
    </row>
    <row r="6">
      <c r="A6" t="n">
        <v>4</v>
      </c>
      <c r="B6" t="n">
        <v>2</v>
      </c>
      <c r="C6" t="inlineStr">
        <is>
          <t>2025-11-19</t>
        </is>
      </c>
      <c r="D6" t="inlineStr">
        <is>
          <t>Tuesday</t>
        </is>
      </c>
      <c r="E6" t="n">
        <v>7</v>
      </c>
      <c r="G6">
        <f>SUM($F$3:F6)</f>
        <v/>
      </c>
      <c r="H6">
        <f>84-G6</f>
        <v/>
      </c>
      <c r="I6">
        <f>F6</f>
        <v/>
      </c>
      <c r="J6">
        <f>IF(ISBLANK(I6),"",IF(I6&gt;=6.5,"🟢",IF(I6&gt;=4,"🟡","🔴")))</f>
        <v/>
      </c>
      <c r="K6" t="inlineStr"/>
    </row>
    <row r="7">
      <c r="A7" t="n">
        <v>5</v>
      </c>
      <c r="B7" t="n">
        <v>2</v>
      </c>
      <c r="C7" t="inlineStr">
        <is>
          <t>2025-11-21</t>
        </is>
      </c>
      <c r="D7" t="inlineStr">
        <is>
          <t>Thursday</t>
        </is>
      </c>
      <c r="E7" t="n">
        <v>7</v>
      </c>
      <c r="G7">
        <f>SUM($F$3:F7)</f>
        <v/>
      </c>
      <c r="H7">
        <f>84-G7</f>
        <v/>
      </c>
      <c r="I7">
        <f>F7</f>
        <v/>
      </c>
      <c r="J7">
        <f>IF(ISBLANK(I7),"",IF(I7&gt;=6.5,"🟢",IF(I7&gt;=4,"🟡","🔴")))</f>
        <v/>
      </c>
      <c r="K7" t="inlineStr"/>
    </row>
    <row r="8">
      <c r="A8" t="n">
        <v>6</v>
      </c>
      <c r="B8" t="n">
        <v>2</v>
      </c>
      <c r="C8" t="inlineStr">
        <is>
          <t>2025-11-26</t>
        </is>
      </c>
      <c r="D8" t="inlineStr">
        <is>
          <t>Tuesday</t>
        </is>
      </c>
      <c r="E8" t="n">
        <v>7</v>
      </c>
      <c r="G8">
        <f>SUM($F$3:F8)</f>
        <v/>
      </c>
      <c r="H8">
        <f>84-G8</f>
        <v/>
      </c>
      <c r="I8">
        <f>F8</f>
        <v/>
      </c>
      <c r="J8">
        <f>IF(ISBLANK(I8),"",IF(I8&gt;=6.5,"🟢",IF(I8&gt;=4,"🟡","🔴")))</f>
        <v/>
      </c>
      <c r="K8" t="inlineStr"/>
    </row>
    <row r="9">
      <c r="A9" t="n">
        <v>7</v>
      </c>
      <c r="B9" t="n">
        <v>3</v>
      </c>
      <c r="C9" t="inlineStr">
        <is>
          <t>2025-12-03</t>
        </is>
      </c>
      <c r="D9" t="inlineStr">
        <is>
          <t>Tuesday</t>
        </is>
      </c>
      <c r="E9" t="n">
        <v>7</v>
      </c>
      <c r="G9">
        <f>SUM($F$3:F9)</f>
        <v/>
      </c>
      <c r="H9">
        <f>84-G9</f>
        <v/>
      </c>
      <c r="I9">
        <f>F9</f>
        <v/>
      </c>
      <c r="J9">
        <f>IF(ISBLANK(I9),"",IF(I9&gt;=6.5,"🟢",IF(I9&gt;=4,"🟡","🔴")))</f>
        <v/>
      </c>
      <c r="K9" t="inlineStr"/>
    </row>
    <row r="10">
      <c r="A10" t="n">
        <v>8</v>
      </c>
      <c r="B10" t="n">
        <v>3</v>
      </c>
      <c r="C10" t="inlineStr">
        <is>
          <t>2025-12-05</t>
        </is>
      </c>
      <c r="D10" t="inlineStr">
        <is>
          <t>Thursday</t>
        </is>
      </c>
      <c r="E10" t="n">
        <v>7</v>
      </c>
      <c r="G10">
        <f>SUM($F$3:F10)</f>
        <v/>
      </c>
      <c r="H10">
        <f>84-G10</f>
        <v/>
      </c>
      <c r="I10">
        <f>F10</f>
        <v/>
      </c>
      <c r="J10">
        <f>IF(ISBLANK(I10),"",IF(I10&gt;=6.5,"🟢",IF(I10&gt;=4,"🟡","🔴")))</f>
        <v/>
      </c>
      <c r="K10" t="inlineStr"/>
    </row>
    <row r="11">
      <c r="A11" t="n">
        <v>9</v>
      </c>
      <c r="B11" t="n">
        <v>3</v>
      </c>
      <c r="C11" t="inlineStr">
        <is>
          <t>2025-12-10</t>
        </is>
      </c>
      <c r="D11" t="inlineStr">
        <is>
          <t>Tuesday</t>
        </is>
      </c>
      <c r="E11" t="n">
        <v>7</v>
      </c>
      <c r="G11">
        <f>SUM($F$3:F11)</f>
        <v/>
      </c>
      <c r="H11">
        <f>84-G11</f>
        <v/>
      </c>
      <c r="I11">
        <f>F11</f>
        <v/>
      </c>
      <c r="J11">
        <f>IF(ISBLANK(I11),"",IF(I11&gt;=6.5,"🟢",IF(I11&gt;=4,"🟡","🔴")))</f>
        <v/>
      </c>
      <c r="K11" t="inlineStr"/>
    </row>
    <row r="12">
      <c r="A12" t="n">
        <v>10</v>
      </c>
      <c r="B12" t="n">
        <v>4</v>
      </c>
      <c r="C12" t="inlineStr">
        <is>
          <t>2025-12-17</t>
        </is>
      </c>
      <c r="D12" t="inlineStr">
        <is>
          <t>Tuesday</t>
        </is>
      </c>
      <c r="E12" t="n">
        <v>7</v>
      </c>
      <c r="G12">
        <f>SUM($F$3:F12)</f>
        <v/>
      </c>
      <c r="H12">
        <f>84-G12</f>
        <v/>
      </c>
      <c r="I12">
        <f>F12</f>
        <v/>
      </c>
      <c r="J12">
        <f>IF(ISBLANK(I12),"",IF(I12&gt;=6.5,"🟢",IF(I12&gt;=4,"🟡","🔴")))</f>
        <v/>
      </c>
      <c r="K12" t="inlineStr"/>
    </row>
    <row r="13">
      <c r="A13" t="n">
        <v>11</v>
      </c>
      <c r="B13" t="n">
        <v>4</v>
      </c>
      <c r="C13" t="inlineStr">
        <is>
          <t>2025-12-19</t>
        </is>
      </c>
      <c r="D13" t="inlineStr">
        <is>
          <t>Thursday</t>
        </is>
      </c>
      <c r="E13" t="n">
        <v>7</v>
      </c>
      <c r="G13">
        <f>SUM($F$3:F13)</f>
        <v/>
      </c>
      <c r="H13">
        <f>84-G13</f>
        <v/>
      </c>
      <c r="I13">
        <f>F13</f>
        <v/>
      </c>
      <c r="J13">
        <f>IF(ISBLANK(I13),"",IF(I13&gt;=6.5,"🟢",IF(I13&gt;=4,"🟡","🔴")))</f>
        <v/>
      </c>
      <c r="K13" t="inlineStr"/>
    </row>
    <row r="14">
      <c r="A14" t="n">
        <v>12</v>
      </c>
      <c r="B14" t="n">
        <v>4</v>
      </c>
      <c r="C14" t="inlineStr">
        <is>
          <t>2025-12-24</t>
        </is>
      </c>
      <c r="D14" t="inlineStr">
        <is>
          <t>Tuesday</t>
        </is>
      </c>
      <c r="E14" t="n">
        <v>7</v>
      </c>
      <c r="G14">
        <f>SUM($F$3:F14)</f>
        <v/>
      </c>
      <c r="H14">
        <f>84-G14</f>
        <v/>
      </c>
      <c r="I14">
        <f>F14</f>
        <v/>
      </c>
      <c r="J14">
        <f>IF(ISBLANK(I14),"",IF(I14&gt;=6.5,"🟢",IF(I14&gt;=4,"🟡","🔴")))</f>
        <v/>
      </c>
      <c r="K14" t="inlineStr"/>
    </row>
    <row r="15">
      <c r="A15" t="n">
        <v>13</v>
      </c>
      <c r="B15" t="n">
        <v>5</v>
      </c>
      <c r="C15" t="inlineStr">
        <is>
          <t>2026-01-07</t>
        </is>
      </c>
      <c r="D15" t="inlineStr">
        <is>
          <t>Tuesday</t>
        </is>
      </c>
      <c r="E15" t="n">
        <v>7</v>
      </c>
      <c r="G15">
        <f>SUM($F$3:F15)</f>
        <v/>
      </c>
      <c r="H15">
        <f>84-G15</f>
        <v/>
      </c>
      <c r="I15">
        <f>F15</f>
        <v/>
      </c>
      <c r="J15">
        <f>IF(ISBLANK(I15),"",IF(I15&gt;=6.5,"🟢",IF(I15&gt;=4,"🟡","🔴")))</f>
        <v/>
      </c>
      <c r="K15" t="inlineStr"/>
    </row>
    <row r="16">
      <c r="A16" t="n">
        <v>14</v>
      </c>
      <c r="B16" t="n">
        <v>5</v>
      </c>
      <c r="C16" t="inlineStr">
        <is>
          <t>2026-01-09</t>
        </is>
      </c>
      <c r="D16" t="inlineStr">
        <is>
          <t>Thursday</t>
        </is>
      </c>
      <c r="E16" t="n">
        <v>7</v>
      </c>
      <c r="G16">
        <f>SUM($F$3:F16)</f>
        <v/>
      </c>
      <c r="H16">
        <f>84-G16</f>
        <v/>
      </c>
      <c r="I16">
        <f>F16</f>
        <v/>
      </c>
      <c r="J16">
        <f>IF(ISBLANK(I16),"",IF(I16&gt;=6.5,"🟢",IF(I16&gt;=4,"🟡","🔴")))</f>
        <v/>
      </c>
      <c r="K16" t="inlineStr"/>
    </row>
    <row r="17">
      <c r="A17" t="n">
        <v>15</v>
      </c>
      <c r="B17" t="n">
        <v>5</v>
      </c>
      <c r="C17" t="inlineStr">
        <is>
          <t>2026-01-14</t>
        </is>
      </c>
      <c r="D17" t="inlineStr">
        <is>
          <t>Tuesday</t>
        </is>
      </c>
      <c r="E17" t="n">
        <v>7</v>
      </c>
      <c r="G17">
        <f>SUM($F$3:F17)</f>
        <v/>
      </c>
      <c r="H17">
        <f>84-G17</f>
        <v/>
      </c>
      <c r="I17">
        <f>F17</f>
        <v/>
      </c>
      <c r="J17">
        <f>IF(ISBLANK(I17),"",IF(I17&gt;=6.5,"🟢",IF(I17&gt;=4,"🟡","🔴")))</f>
        <v/>
      </c>
      <c r="K17" t="inlineStr"/>
    </row>
    <row r="19">
      <c r="A19" s="3" t="inlineStr">
        <is>
          <t>INSTRUCTIONS: Update ONLY column F after each session. Everything else auto-calculates!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BURNDOWN CHART DATA</t>
        </is>
      </c>
    </row>
    <row r="2">
      <c r="A2" s="1" t="inlineStr">
        <is>
          <t>Session #</t>
        </is>
      </c>
      <c r="B2" s="1" t="inlineStr">
        <is>
          <t>Sprint</t>
        </is>
      </c>
      <c r="C2" s="1" t="inlineStr">
        <is>
          <t>Stories Remaining (Ideal)</t>
        </is>
      </c>
      <c r="D2" s="1" t="inlineStr">
        <is>
          <t>Stories Remaining (Actual)</t>
        </is>
      </c>
      <c r="E2" s="1" t="inlineStr">
        <is>
          <t>Variance</t>
        </is>
      </c>
      <c r="F2" s="1" t="inlineStr">
        <is>
          <t>Status</t>
        </is>
      </c>
    </row>
    <row r="3">
      <c r="A3" t="n">
        <v>0</v>
      </c>
      <c r="B3" t="n">
        <v>1</v>
      </c>
      <c r="C3" t="n">
        <v>84</v>
      </c>
      <c r="D3" t="n">
        <v>84</v>
      </c>
      <c r="E3" t="n">
        <v>0</v>
      </c>
      <c r="F3" t="inlineStr">
        <is>
          <t>Start</t>
        </is>
      </c>
    </row>
    <row r="4">
      <c r="A4">
        <f>INDEX('SESSION LOG'!A:A,3)</f>
        <v/>
      </c>
      <c r="B4">
        <f>INDEX('SESSION LOG'!B:B,3)</f>
        <v/>
      </c>
      <c r="C4">
        <f>84-5.6*(1)</f>
        <v/>
      </c>
      <c r="D4">
        <f>INDEX('SESSION LOG'!H:H,3)</f>
        <v/>
      </c>
      <c r="E4">
        <f>D4-C4</f>
        <v/>
      </c>
      <c r="F4">
        <f>IF(E4&gt;=0,"🟢",IF(E4&gt;=-5,"🟡","🔴"))</f>
        <v/>
      </c>
    </row>
    <row r="5">
      <c r="A5">
        <f>INDEX('SESSION LOG'!A:A,4)</f>
        <v/>
      </c>
      <c r="B5">
        <f>INDEX('SESSION LOG'!B:B,4)</f>
        <v/>
      </c>
      <c r="C5">
        <f>84-5.6*(2)</f>
        <v/>
      </c>
      <c r="D5">
        <f>INDEX('SESSION LOG'!H:H,4)</f>
        <v/>
      </c>
      <c r="E5">
        <f>D5-C5</f>
        <v/>
      </c>
      <c r="F5">
        <f>IF(E5&gt;=0,"🟢",IF(E5&gt;=-5,"🟡","🔴"))</f>
        <v/>
      </c>
    </row>
    <row r="6">
      <c r="A6">
        <f>INDEX('SESSION LOG'!A:A,5)</f>
        <v/>
      </c>
      <c r="B6">
        <f>INDEX('SESSION LOG'!B:B,5)</f>
        <v/>
      </c>
      <c r="C6">
        <f>84-5.6*(3)</f>
        <v/>
      </c>
      <c r="D6">
        <f>INDEX('SESSION LOG'!H:H,5)</f>
        <v/>
      </c>
      <c r="E6">
        <f>D6-C6</f>
        <v/>
      </c>
      <c r="F6">
        <f>IF(E6&gt;=0,"🟢",IF(E6&gt;=-5,"🟡","🔴"))</f>
        <v/>
      </c>
    </row>
    <row r="7">
      <c r="A7">
        <f>INDEX('SESSION LOG'!A:A,6)</f>
        <v/>
      </c>
      <c r="B7">
        <f>INDEX('SESSION LOG'!B:B,6)</f>
        <v/>
      </c>
      <c r="C7">
        <f>84-5.6*(4)</f>
        <v/>
      </c>
      <c r="D7">
        <f>INDEX('SESSION LOG'!H:H,6)</f>
        <v/>
      </c>
      <c r="E7">
        <f>D7-C7</f>
        <v/>
      </c>
      <c r="F7">
        <f>IF(E7&gt;=0,"🟢",IF(E7&gt;=-5,"🟡","🔴"))</f>
        <v/>
      </c>
    </row>
    <row r="8">
      <c r="A8">
        <f>INDEX('SESSION LOG'!A:A,7)</f>
        <v/>
      </c>
      <c r="B8">
        <f>INDEX('SESSION LOG'!B:B,7)</f>
        <v/>
      </c>
      <c r="C8">
        <f>84-5.6*(5)</f>
        <v/>
      </c>
      <c r="D8">
        <f>INDEX('SESSION LOG'!H:H,7)</f>
        <v/>
      </c>
      <c r="E8">
        <f>D8-C8</f>
        <v/>
      </c>
      <c r="F8">
        <f>IF(E8&gt;=0,"🟢",IF(E8&gt;=-5,"🟡","🔴"))</f>
        <v/>
      </c>
    </row>
    <row r="9">
      <c r="A9">
        <f>INDEX('SESSION LOG'!A:A,8)</f>
        <v/>
      </c>
      <c r="B9">
        <f>INDEX('SESSION LOG'!B:B,8)</f>
        <v/>
      </c>
      <c r="C9">
        <f>84-5.6*(6)</f>
        <v/>
      </c>
      <c r="D9">
        <f>INDEX('SESSION LOG'!H:H,8)</f>
        <v/>
      </c>
      <c r="E9">
        <f>D9-C9</f>
        <v/>
      </c>
      <c r="F9">
        <f>IF(E9&gt;=0,"🟢",IF(E9&gt;=-5,"🟡","🔴"))</f>
        <v/>
      </c>
    </row>
    <row r="10">
      <c r="A10">
        <f>INDEX('SESSION LOG'!A:A,9)</f>
        <v/>
      </c>
      <c r="B10">
        <f>INDEX('SESSION LOG'!B:B,9)</f>
        <v/>
      </c>
      <c r="C10">
        <f>84-5.6*(7)</f>
        <v/>
      </c>
      <c r="D10">
        <f>INDEX('SESSION LOG'!H:H,9)</f>
        <v/>
      </c>
      <c r="E10">
        <f>D10-C10</f>
        <v/>
      </c>
      <c r="F10">
        <f>IF(E10&gt;=0,"🟢",IF(E10&gt;=-5,"🟡","🔴"))</f>
        <v/>
      </c>
    </row>
    <row r="11">
      <c r="A11">
        <f>INDEX('SESSION LOG'!A:A,10)</f>
        <v/>
      </c>
      <c r="B11">
        <f>INDEX('SESSION LOG'!B:B,10)</f>
        <v/>
      </c>
      <c r="C11">
        <f>84-5.6*(8)</f>
        <v/>
      </c>
      <c r="D11">
        <f>INDEX('SESSION LOG'!H:H,10)</f>
        <v/>
      </c>
      <c r="E11">
        <f>D11-C11</f>
        <v/>
      </c>
      <c r="F11">
        <f>IF(E11&gt;=0,"🟢",IF(E11&gt;=-5,"🟡","🔴"))</f>
        <v/>
      </c>
    </row>
    <row r="12">
      <c r="A12">
        <f>INDEX('SESSION LOG'!A:A,11)</f>
        <v/>
      </c>
      <c r="B12">
        <f>INDEX('SESSION LOG'!B:B,11)</f>
        <v/>
      </c>
      <c r="C12">
        <f>84-5.6*(9)</f>
        <v/>
      </c>
      <c r="D12">
        <f>INDEX('SESSION LOG'!H:H,11)</f>
        <v/>
      </c>
      <c r="E12">
        <f>D12-C12</f>
        <v/>
      </c>
      <c r="F12">
        <f>IF(E12&gt;=0,"🟢",IF(E12&gt;=-5,"🟡","🔴"))</f>
        <v/>
      </c>
    </row>
    <row r="13">
      <c r="A13">
        <f>INDEX('SESSION LOG'!A:A,12)</f>
        <v/>
      </c>
      <c r="B13">
        <f>INDEX('SESSION LOG'!B:B,12)</f>
        <v/>
      </c>
      <c r="C13">
        <f>84-5.6*(10)</f>
        <v/>
      </c>
      <c r="D13">
        <f>INDEX('SESSION LOG'!H:H,12)</f>
        <v/>
      </c>
      <c r="E13">
        <f>D13-C13</f>
        <v/>
      </c>
      <c r="F13">
        <f>IF(E13&gt;=0,"🟢",IF(E13&gt;=-5,"🟡","🔴"))</f>
        <v/>
      </c>
    </row>
    <row r="14">
      <c r="A14">
        <f>INDEX('SESSION LOG'!A:A,13)</f>
        <v/>
      </c>
      <c r="B14">
        <f>INDEX('SESSION LOG'!B:B,13)</f>
        <v/>
      </c>
      <c r="C14">
        <f>84-5.6*(11)</f>
        <v/>
      </c>
      <c r="D14">
        <f>INDEX('SESSION LOG'!H:H,13)</f>
        <v/>
      </c>
      <c r="E14">
        <f>D14-C14</f>
        <v/>
      </c>
      <c r="F14">
        <f>IF(E14&gt;=0,"🟢",IF(E14&gt;=-5,"🟡","🔴"))</f>
        <v/>
      </c>
    </row>
    <row r="15">
      <c r="A15">
        <f>INDEX('SESSION LOG'!A:A,14)</f>
        <v/>
      </c>
      <c r="B15">
        <f>INDEX('SESSION LOG'!B:B,14)</f>
        <v/>
      </c>
      <c r="C15">
        <f>84-5.6*(12)</f>
        <v/>
      </c>
      <c r="D15">
        <f>INDEX('SESSION LOG'!H:H,14)</f>
        <v/>
      </c>
      <c r="E15">
        <f>D15-C15</f>
        <v/>
      </c>
      <c r="F15">
        <f>IF(E15&gt;=0,"🟢",IF(E15&gt;=-5,"🟡","🔴"))</f>
        <v/>
      </c>
    </row>
    <row r="16">
      <c r="A16">
        <f>INDEX('SESSION LOG'!A:A,15)</f>
        <v/>
      </c>
      <c r="B16">
        <f>INDEX('SESSION LOG'!B:B,15)</f>
        <v/>
      </c>
      <c r="C16">
        <f>84-5.6*(13)</f>
        <v/>
      </c>
      <c r="D16">
        <f>INDEX('SESSION LOG'!H:H,15)</f>
        <v/>
      </c>
      <c r="E16">
        <f>D16-C16</f>
        <v/>
      </c>
      <c r="F16">
        <f>IF(E16&gt;=0,"🟢",IF(E16&gt;=-5,"🟡","🔴"))</f>
        <v/>
      </c>
    </row>
    <row r="17">
      <c r="A17">
        <f>INDEX('SESSION LOG'!A:A,16)</f>
        <v/>
      </c>
      <c r="B17">
        <f>INDEX('SESSION LOG'!B:B,16)</f>
        <v/>
      </c>
      <c r="C17">
        <f>84-5.6*(14)</f>
        <v/>
      </c>
      <c r="D17">
        <f>INDEX('SESSION LOG'!H:H,16)</f>
        <v/>
      </c>
      <c r="E17">
        <f>D17-C17</f>
        <v/>
      </c>
      <c r="F17">
        <f>IF(E17&gt;=0,"🟢",IF(E17&gt;=-5,"🟡","🔴"))</f>
        <v/>
      </c>
    </row>
    <row r="18">
      <c r="A18">
        <f>INDEX('SESSION LOG'!A:A,17)</f>
        <v/>
      </c>
      <c r="B18">
        <f>INDEX('SESSION LOG'!B:B,17)</f>
        <v/>
      </c>
      <c r="C18">
        <f>84-5.6*(15)</f>
        <v/>
      </c>
      <c r="D18">
        <f>INDEX('SESSION LOG'!H:H,17)</f>
        <v/>
      </c>
      <c r="E18">
        <f>D18-C18</f>
        <v/>
      </c>
      <c r="F18">
        <f>IF(E18&gt;=0,"🟢",IF(E18&gt;=-5,"🟡","🔴"))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BURNUP CHART DATA</t>
        </is>
      </c>
    </row>
    <row r="2">
      <c r="A2" s="1" t="inlineStr">
        <is>
          <t>Session #</t>
        </is>
      </c>
      <c r="B2" s="1" t="inlineStr">
        <is>
          <t>Sprint</t>
        </is>
      </c>
      <c r="C2" s="1" t="inlineStr">
        <is>
          <t>Stories Refined (Target)</t>
        </is>
      </c>
      <c r="D2" s="1" t="inlineStr">
        <is>
          <t>Stories Refined (Actual)</t>
        </is>
      </c>
      <c r="E2" s="1" t="inlineStr">
        <is>
          <t>Total Scope</t>
        </is>
      </c>
      <c r="F2" s="1" t="inlineStr">
        <is>
          <t>Gap</t>
        </is>
      </c>
    </row>
    <row r="3">
      <c r="A3" t="n">
        <v>0</v>
      </c>
      <c r="B3" t="n">
        <v>1</v>
      </c>
      <c r="C3" t="n">
        <v>0</v>
      </c>
      <c r="D3" t="n">
        <v>0</v>
      </c>
      <c r="E3" t="n">
        <v>84</v>
      </c>
      <c r="F3" t="n">
        <v>0</v>
      </c>
    </row>
    <row r="4">
      <c r="A4">
        <f>INDEX('SESSION LOG'!A:A,3)</f>
        <v/>
      </c>
      <c r="B4">
        <f>INDEX('SESSION LOG'!B:B,3)</f>
        <v/>
      </c>
      <c r="C4">
        <f>5.6*(1)</f>
        <v/>
      </c>
      <c r="D4">
        <f>INDEX('SESSION LOG'!G:G,3)</f>
        <v/>
      </c>
      <c r="E4" t="n">
        <v>84</v>
      </c>
      <c r="F4">
        <f>D4-C4</f>
        <v/>
      </c>
    </row>
    <row r="5">
      <c r="A5">
        <f>INDEX('SESSION LOG'!A:A,4)</f>
        <v/>
      </c>
      <c r="B5">
        <f>INDEX('SESSION LOG'!B:B,4)</f>
        <v/>
      </c>
      <c r="C5">
        <f>5.6*(2)</f>
        <v/>
      </c>
      <c r="D5">
        <f>INDEX('SESSION LOG'!G:G,4)</f>
        <v/>
      </c>
      <c r="E5" t="n">
        <v>84</v>
      </c>
      <c r="F5">
        <f>D5-C5</f>
        <v/>
      </c>
    </row>
    <row r="6">
      <c r="A6">
        <f>INDEX('SESSION LOG'!A:A,5)</f>
        <v/>
      </c>
      <c r="B6">
        <f>INDEX('SESSION LOG'!B:B,5)</f>
        <v/>
      </c>
      <c r="C6">
        <f>5.6*(3)</f>
        <v/>
      </c>
      <c r="D6">
        <f>INDEX('SESSION LOG'!G:G,5)</f>
        <v/>
      </c>
      <c r="E6" t="n">
        <v>84</v>
      </c>
      <c r="F6">
        <f>D6-C6</f>
        <v/>
      </c>
    </row>
    <row r="7">
      <c r="A7">
        <f>INDEX('SESSION LOG'!A:A,6)</f>
        <v/>
      </c>
      <c r="B7">
        <f>INDEX('SESSION LOG'!B:B,6)</f>
        <v/>
      </c>
      <c r="C7">
        <f>5.6*(4)</f>
        <v/>
      </c>
      <c r="D7">
        <f>INDEX('SESSION LOG'!G:G,6)</f>
        <v/>
      </c>
      <c r="E7" t="n">
        <v>84</v>
      </c>
      <c r="F7">
        <f>D7-C7</f>
        <v/>
      </c>
    </row>
    <row r="8">
      <c r="A8">
        <f>INDEX('SESSION LOG'!A:A,7)</f>
        <v/>
      </c>
      <c r="B8">
        <f>INDEX('SESSION LOG'!B:B,7)</f>
        <v/>
      </c>
      <c r="C8">
        <f>5.6*(5)</f>
        <v/>
      </c>
      <c r="D8">
        <f>INDEX('SESSION LOG'!G:G,7)</f>
        <v/>
      </c>
      <c r="E8" t="n">
        <v>84</v>
      </c>
      <c r="F8">
        <f>D8-C8</f>
        <v/>
      </c>
    </row>
    <row r="9">
      <c r="A9">
        <f>INDEX('SESSION LOG'!A:A,8)</f>
        <v/>
      </c>
      <c r="B9">
        <f>INDEX('SESSION LOG'!B:B,8)</f>
        <v/>
      </c>
      <c r="C9">
        <f>5.6*(6)</f>
        <v/>
      </c>
      <c r="D9">
        <f>INDEX('SESSION LOG'!G:G,8)</f>
        <v/>
      </c>
      <c r="E9" t="n">
        <v>84</v>
      </c>
      <c r="F9">
        <f>D9-C9</f>
        <v/>
      </c>
    </row>
    <row r="10">
      <c r="A10">
        <f>INDEX('SESSION LOG'!A:A,9)</f>
        <v/>
      </c>
      <c r="B10">
        <f>INDEX('SESSION LOG'!B:B,9)</f>
        <v/>
      </c>
      <c r="C10">
        <f>5.6*(7)</f>
        <v/>
      </c>
      <c r="D10">
        <f>INDEX('SESSION LOG'!G:G,9)</f>
        <v/>
      </c>
      <c r="E10" t="n">
        <v>84</v>
      </c>
      <c r="F10">
        <f>D10-C10</f>
        <v/>
      </c>
    </row>
    <row r="11">
      <c r="A11">
        <f>INDEX('SESSION LOG'!A:A,10)</f>
        <v/>
      </c>
      <c r="B11">
        <f>INDEX('SESSION LOG'!B:B,10)</f>
        <v/>
      </c>
      <c r="C11">
        <f>5.6*(8)</f>
        <v/>
      </c>
      <c r="D11">
        <f>INDEX('SESSION LOG'!G:G,10)</f>
        <v/>
      </c>
      <c r="E11" t="n">
        <v>84</v>
      </c>
      <c r="F11">
        <f>D11-C11</f>
        <v/>
      </c>
    </row>
    <row r="12">
      <c r="A12">
        <f>INDEX('SESSION LOG'!A:A,11)</f>
        <v/>
      </c>
      <c r="B12">
        <f>INDEX('SESSION LOG'!B:B,11)</f>
        <v/>
      </c>
      <c r="C12">
        <f>5.6*(9)</f>
        <v/>
      </c>
      <c r="D12">
        <f>INDEX('SESSION LOG'!G:G,11)</f>
        <v/>
      </c>
      <c r="E12" t="n">
        <v>84</v>
      </c>
      <c r="F12">
        <f>D12-C12</f>
        <v/>
      </c>
    </row>
    <row r="13">
      <c r="A13">
        <f>INDEX('SESSION LOG'!A:A,12)</f>
        <v/>
      </c>
      <c r="B13">
        <f>INDEX('SESSION LOG'!B:B,12)</f>
        <v/>
      </c>
      <c r="C13">
        <f>5.6*(10)</f>
        <v/>
      </c>
      <c r="D13">
        <f>INDEX('SESSION LOG'!G:G,12)</f>
        <v/>
      </c>
      <c r="E13" t="n">
        <v>84</v>
      </c>
      <c r="F13">
        <f>D13-C13</f>
        <v/>
      </c>
    </row>
    <row r="14">
      <c r="A14">
        <f>INDEX('SESSION LOG'!A:A,13)</f>
        <v/>
      </c>
      <c r="B14">
        <f>INDEX('SESSION LOG'!B:B,13)</f>
        <v/>
      </c>
      <c r="C14">
        <f>5.6*(11)</f>
        <v/>
      </c>
      <c r="D14">
        <f>INDEX('SESSION LOG'!G:G,13)</f>
        <v/>
      </c>
      <c r="E14" t="n">
        <v>84</v>
      </c>
      <c r="F14">
        <f>D14-C14</f>
        <v/>
      </c>
    </row>
    <row r="15">
      <c r="A15">
        <f>INDEX('SESSION LOG'!A:A,14)</f>
        <v/>
      </c>
      <c r="B15">
        <f>INDEX('SESSION LOG'!B:B,14)</f>
        <v/>
      </c>
      <c r="C15">
        <f>5.6*(12)</f>
        <v/>
      </c>
      <c r="D15">
        <f>INDEX('SESSION LOG'!G:G,14)</f>
        <v/>
      </c>
      <c r="E15" t="n">
        <v>84</v>
      </c>
      <c r="F15">
        <f>D15-C15</f>
        <v/>
      </c>
    </row>
    <row r="16">
      <c r="A16">
        <f>INDEX('SESSION LOG'!A:A,15)</f>
        <v/>
      </c>
      <c r="B16">
        <f>INDEX('SESSION LOG'!B:B,15)</f>
        <v/>
      </c>
      <c r="C16">
        <f>5.6*(13)</f>
        <v/>
      </c>
      <c r="D16">
        <f>INDEX('SESSION LOG'!G:G,15)</f>
        <v/>
      </c>
      <c r="E16" t="n">
        <v>84</v>
      </c>
      <c r="F16">
        <f>D16-C16</f>
        <v/>
      </c>
    </row>
    <row r="17">
      <c r="A17">
        <f>INDEX('SESSION LOG'!A:A,16)</f>
        <v/>
      </c>
      <c r="B17">
        <f>INDEX('SESSION LOG'!B:B,16)</f>
        <v/>
      </c>
      <c r="C17">
        <f>5.6*(14)</f>
        <v/>
      </c>
      <c r="D17">
        <f>INDEX('SESSION LOG'!G:G,16)</f>
        <v/>
      </c>
      <c r="E17" t="n">
        <v>84</v>
      </c>
      <c r="F17">
        <f>D17-C17</f>
        <v/>
      </c>
    </row>
    <row r="18">
      <c r="A18">
        <f>INDEX('SESSION LOG'!A:A,17)</f>
        <v/>
      </c>
      <c r="B18">
        <f>INDEX('SESSION LOG'!B:B,17)</f>
        <v/>
      </c>
      <c r="C18">
        <f>5.6*(15)</f>
        <v/>
      </c>
      <c r="D18">
        <f>INDEX('SESSION LOG'!G:G,17)</f>
        <v/>
      </c>
      <c r="E18" t="n">
        <v>84</v>
      </c>
      <c r="F18">
        <f>D18-C18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EPIC PROGRESS</t>
        </is>
      </c>
    </row>
    <row r="2">
      <c r="A2" s="1" t="inlineStr">
        <is>
          <t>Epic ID</t>
        </is>
      </c>
      <c r="B2" s="1" t="inlineStr">
        <is>
          <t>Epic Name</t>
        </is>
      </c>
      <c r="C2" s="1" t="inlineStr">
        <is>
          <t>Total</t>
        </is>
      </c>
      <c r="D2" s="1" t="inlineStr">
        <is>
          <t>Open</t>
        </is>
      </c>
      <c r="E2" s="1" t="inlineStr">
        <is>
          <t>Ready</t>
        </is>
      </c>
      <c r="F2" s="1" t="inlineStr">
        <is>
          <t>Other</t>
        </is>
      </c>
      <c r="G2" s="1" t="inlineStr">
        <is>
          <t>% Complete</t>
        </is>
      </c>
      <c r="H2" s="1" t="inlineStr">
        <is>
          <t>Priority</t>
        </is>
      </c>
      <c r="I2" s="1" t="inlineStr">
        <is>
          <t>Sprint</t>
        </is>
      </c>
    </row>
    <row r="3">
      <c r="A3" t="inlineStr">
        <is>
          <t>SSF-123</t>
        </is>
      </c>
      <c r="B3" t="inlineStr">
        <is>
          <t>Fishing Operations</t>
        </is>
      </c>
      <c r="C3" t="n">
        <v>14</v>
      </c>
      <c r="D3" t="n">
        <v>13</v>
      </c>
      <c r="E3" t="n">
        <v>1</v>
      </c>
      <c r="F3" t="n">
        <v>0</v>
      </c>
      <c r="G3">
        <f>IF(C3=0,0,E3/C3*100)</f>
        <v/>
      </c>
      <c r="H3" t="inlineStr">
        <is>
          <t>HIGH</t>
        </is>
      </c>
      <c r="I3" t="inlineStr">
        <is>
          <t>1-2</t>
        </is>
      </c>
    </row>
    <row r="4">
      <c r="A4" t="inlineStr">
        <is>
          <t>SSF-96</t>
        </is>
      </c>
      <c r="B4" t="inlineStr">
        <is>
          <t>Login &amp; Session</t>
        </is>
      </c>
      <c r="C4" t="n">
        <v>12</v>
      </c>
      <c r="D4" t="n">
        <v>6</v>
      </c>
      <c r="E4" t="n">
        <v>6</v>
      </c>
      <c r="F4" t="n">
        <v>0</v>
      </c>
      <c r="G4">
        <f>IF(C4=0,0,E4/C4*100)</f>
        <v/>
      </c>
      <c r="H4" t="inlineStr">
        <is>
          <t>CRITICAL</t>
        </is>
      </c>
      <c r="I4" t="inlineStr">
        <is>
          <t>1</t>
        </is>
      </c>
    </row>
    <row r="5">
      <c r="A5" t="inlineStr">
        <is>
          <t>SSF-122</t>
        </is>
      </c>
      <c r="B5" t="inlineStr">
        <is>
          <t>Departure &amp; Catches</t>
        </is>
      </c>
      <c r="C5" t="n">
        <v>10</v>
      </c>
      <c r="D5" t="n">
        <v>10</v>
      </c>
      <c r="E5" t="n">
        <v>0</v>
      </c>
      <c r="F5" t="n">
        <v>0</v>
      </c>
      <c r="G5">
        <f>IF(C5=0,0,E5/C5*100)</f>
        <v/>
      </c>
      <c r="H5" t="inlineStr">
        <is>
          <t>HIGH</t>
        </is>
      </c>
      <c r="I5" t="inlineStr">
        <is>
          <t>2-3</t>
        </is>
      </c>
    </row>
    <row r="6">
      <c r="A6" t="inlineStr">
        <is>
          <t>SSF-93</t>
        </is>
      </c>
      <c r="B6" t="inlineStr">
        <is>
          <t>Gear Management</t>
        </is>
      </c>
      <c r="C6" t="n">
        <v>10</v>
      </c>
      <c r="D6" t="n">
        <v>9</v>
      </c>
      <c r="E6" t="n">
        <v>1</v>
      </c>
      <c r="F6" t="n">
        <v>0</v>
      </c>
      <c r="G6">
        <f>IF(C6=0,0,E6/C6*100)</f>
        <v/>
      </c>
      <c r="H6" t="inlineStr">
        <is>
          <t>MEDIUM</t>
        </is>
      </c>
      <c r="I6" t="inlineStr">
        <is>
          <t>2-3</t>
        </is>
      </c>
    </row>
    <row r="7">
      <c r="A7" t="inlineStr">
        <is>
          <t>SSF-95</t>
        </is>
      </c>
      <c r="B7" t="inlineStr">
        <is>
          <t>Map &amp; Location</t>
        </is>
      </c>
      <c r="C7" t="n">
        <v>8</v>
      </c>
      <c r="D7" t="n">
        <v>6</v>
      </c>
      <c r="E7" t="n">
        <v>2</v>
      </c>
      <c r="F7" t="n">
        <v>0</v>
      </c>
      <c r="G7">
        <f>IF(C7=0,0,E7/C7*100)</f>
        <v/>
      </c>
      <c r="H7" t="inlineStr">
        <is>
          <t>MEDIUM</t>
        </is>
      </c>
      <c r="I7" t="inlineStr">
        <is>
          <t>3-4</t>
        </is>
      </c>
    </row>
    <row r="8">
      <c r="A8" t="inlineStr">
        <is>
          <t>SSF-84</t>
        </is>
      </c>
      <c r="B8" t="inlineStr">
        <is>
          <t>Technical Setup</t>
        </is>
      </c>
      <c r="C8" t="n">
        <v>8</v>
      </c>
      <c r="D8" t="n">
        <v>3</v>
      </c>
      <c r="E8" t="n">
        <v>5</v>
      </c>
      <c r="F8" t="n">
        <v>0</v>
      </c>
      <c r="G8">
        <f>IF(C8=0,0,E8/C8*100)</f>
        <v/>
      </c>
      <c r="H8" t="inlineStr">
        <is>
          <t>HIGH</t>
        </is>
      </c>
      <c r="I8" t="inlineStr">
        <is>
          <t>1</t>
        </is>
      </c>
    </row>
    <row r="9">
      <c r="A9" t="inlineStr">
        <is>
          <t>SSF-165</t>
        </is>
      </c>
      <c r="B9" t="inlineStr">
        <is>
          <t>Backend Infrastructure</t>
        </is>
      </c>
      <c r="C9" t="n">
        <v>3</v>
      </c>
      <c r="D9" t="n">
        <v>3</v>
      </c>
      <c r="E9" t="n">
        <v>0</v>
      </c>
      <c r="F9" t="n">
        <v>0</v>
      </c>
      <c r="G9">
        <f>IF(C9=0,0,E9/C9*100)</f>
        <v/>
      </c>
      <c r="H9" t="inlineStr">
        <is>
          <t>MEDIUM</t>
        </is>
      </c>
      <c r="I9" t="inlineStr">
        <is>
          <t>4-5</t>
        </is>
      </c>
    </row>
    <row r="10">
      <c r="A10" t="inlineStr">
        <is>
          <t>SSF-166</t>
        </is>
      </c>
      <c r="B10" t="inlineStr">
        <is>
          <t>Internationalization</t>
        </is>
      </c>
      <c r="C10" t="n">
        <v>4</v>
      </c>
      <c r="D10" t="n">
        <v>3</v>
      </c>
      <c r="E10" t="n">
        <v>1</v>
      </c>
      <c r="F10" t="n">
        <v>0</v>
      </c>
      <c r="G10">
        <f>IF(C10=0,0,E10/C10*100)</f>
        <v/>
      </c>
      <c r="H10" t="inlineStr">
        <is>
          <t>LOW</t>
        </is>
      </c>
      <c r="I10" t="inlineStr">
        <is>
          <t>5</t>
        </is>
      </c>
    </row>
    <row r="11">
      <c r="A11" t="inlineStr">
        <is>
          <t>SSF-162</t>
        </is>
      </c>
      <c r="B11" t="inlineStr">
        <is>
          <t>Menu &amp; Navigation</t>
        </is>
      </c>
      <c r="C11" t="n">
        <v>3</v>
      </c>
      <c r="D11" t="n">
        <v>2</v>
      </c>
      <c r="E11" t="n">
        <v>1</v>
      </c>
      <c r="F11" t="n">
        <v>0</v>
      </c>
      <c r="G11">
        <f>IF(C11=0,0,E11/C11*100)</f>
        <v/>
      </c>
      <c r="H11" t="inlineStr">
        <is>
          <t>MEDIUM</t>
        </is>
      </c>
      <c r="I11" t="inlineStr">
        <is>
          <t>3</t>
        </is>
      </c>
    </row>
    <row r="12">
      <c r="A12" t="inlineStr">
        <is>
          <t>SSF-94</t>
        </is>
      </c>
      <c r="B12" t="inlineStr">
        <is>
          <t>Home &amp; Widgets</t>
        </is>
      </c>
      <c r="C12" t="n">
        <v>5</v>
      </c>
      <c r="D12" t="n">
        <v>4</v>
      </c>
      <c r="E12" t="n">
        <v>1</v>
      </c>
      <c r="F12" t="n">
        <v>0</v>
      </c>
      <c r="G12">
        <f>IF(C12=0,0,E12/C12*100)</f>
        <v/>
      </c>
      <c r="H12" t="inlineStr">
        <is>
          <t>MEDIUM</t>
        </is>
      </c>
      <c r="I12" t="inlineStr">
        <is>
          <t>2</t>
        </is>
      </c>
    </row>
    <row r="13">
      <c r="A13" t="inlineStr">
        <is>
          <t>SSF-86</t>
        </is>
      </c>
      <c r="B13" t="inlineStr">
        <is>
          <t>Tracking</t>
        </is>
      </c>
      <c r="C13" t="n">
        <v>6</v>
      </c>
      <c r="D13" t="n">
        <v>1</v>
      </c>
      <c r="E13" t="n">
        <v>5</v>
      </c>
      <c r="F13" t="n">
        <v>0</v>
      </c>
      <c r="G13">
        <f>IF(C13=0,0,E13/C13*100)</f>
        <v/>
      </c>
      <c r="H13" t="inlineStr">
        <is>
          <t>HIGH</t>
        </is>
      </c>
      <c r="I13" t="inlineStr">
        <is>
          <t>1</t>
        </is>
      </c>
    </row>
    <row r="14">
      <c r="A14" t="inlineStr">
        <is>
          <t>SSF-97</t>
        </is>
      </c>
      <c r="B14" t="inlineStr">
        <is>
          <t>CI/CD &amp; Deployment</t>
        </is>
      </c>
      <c r="C14" t="n">
        <v>5</v>
      </c>
      <c r="D14" t="n">
        <v>5</v>
      </c>
      <c r="E14" t="n">
        <v>0</v>
      </c>
      <c r="F14" t="n">
        <v>0</v>
      </c>
      <c r="G14">
        <f>IF(C14=0,0,E14/C14*100)</f>
        <v/>
      </c>
      <c r="H14" t="inlineStr">
        <is>
          <t>MEDIUM</t>
        </is>
      </c>
      <c r="I14" t="inlineStr">
        <is>
          <t>4-5</t>
        </is>
      </c>
    </row>
    <row r="15">
      <c r="A15" t="inlineStr">
        <is>
          <t>SSF-132</t>
        </is>
      </c>
      <c r="B15" t="inlineStr">
        <is>
          <t>FMC Integration</t>
        </is>
      </c>
      <c r="C15" t="n">
        <v>1</v>
      </c>
      <c r="D15" t="n">
        <v>1</v>
      </c>
      <c r="E15" t="n">
        <v>0</v>
      </c>
      <c r="F15" t="n">
        <v>0</v>
      </c>
      <c r="G15">
        <f>IF(C15=0,0,E15/C15*100)</f>
        <v/>
      </c>
      <c r="H15" t="inlineStr">
        <is>
          <t>MEDIUM</t>
        </is>
      </c>
      <c r="I15" t="inlineStr">
        <is>
          <t>4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2" customWidth="1" min="4" max="4"/>
    <col width="10" customWidth="1" min="5" max="5"/>
    <col width="8" customWidth="1" min="6" max="6"/>
    <col width="12" customWidth="1" min="7" max="7"/>
    <col width="12" customWidth="1" min="8" max="8"/>
    <col width="16" customWidth="1" min="9" max="9"/>
    <col width="14" customWidth="1" min="10" max="10"/>
    <col width="20" customWidth="1" min="11" max="11"/>
  </cols>
  <sheetData>
    <row r="1">
      <c r="A1" s="1" t="inlineStr">
        <is>
          <t>SESSION CALENDAR - All 13 Remaining Sessions</t>
        </is>
      </c>
    </row>
    <row r="2">
      <c r="A2" s="1" t="inlineStr">
        <is>
          <t>Session #</t>
        </is>
      </c>
      <c r="B2" s="1" t="inlineStr">
        <is>
          <t>Sprint</t>
        </is>
      </c>
      <c r="C2" s="1" t="inlineStr">
        <is>
          <t>Week</t>
        </is>
      </c>
      <c r="D2" s="1" t="inlineStr">
        <is>
          <t>Date</t>
        </is>
      </c>
      <c r="E2" s="1" t="inlineStr">
        <is>
          <t>Day</t>
        </is>
      </c>
      <c r="F2" s="1" t="inlineStr">
        <is>
          <t>Time</t>
        </is>
      </c>
      <c r="G2" s="1" t="inlineStr">
        <is>
          <t>Duration</t>
        </is>
      </c>
      <c r="H2" s="1" t="inlineStr">
        <is>
          <t>Target</t>
        </is>
      </c>
      <c r="I2" s="1" t="inlineStr">
        <is>
          <t>Prep Deadline</t>
        </is>
      </c>
      <c r="J2" s="1" t="inlineStr">
        <is>
          <t>Status</t>
        </is>
      </c>
      <c r="K2" s="1" t="inlineStr">
        <is>
          <t>Notes</t>
        </is>
      </c>
    </row>
    <row r="3">
      <c r="A3" t="n">
        <v>3</v>
      </c>
      <c r="B3" t="n">
        <v>1</v>
      </c>
      <c r="C3" t="n">
        <v>2</v>
      </c>
      <c r="D3" t="inlineStr">
        <is>
          <t>2025-11-12</t>
        </is>
      </c>
      <c r="E3" t="inlineStr">
        <is>
          <t>Tue</t>
        </is>
      </c>
      <c r="F3" t="inlineStr">
        <is>
          <t>14:00</t>
        </is>
      </c>
      <c r="G3" t="n">
        <v>60</v>
      </c>
      <c r="H3" t="n">
        <v>7</v>
      </c>
      <c r="I3" t="inlineStr">
        <is>
          <t>2025-11-10</t>
        </is>
      </c>
      <c r="J3" t="inlineStr">
        <is>
          <t>🟡 This Week</t>
        </is>
      </c>
      <c r="K3" t="inlineStr">
        <is>
          <t>Quick wins</t>
        </is>
      </c>
    </row>
    <row r="4">
      <c r="A4" t="n">
        <v>4</v>
      </c>
      <c r="B4" t="n">
        <v>2</v>
      </c>
      <c r="C4" t="n">
        <v>1</v>
      </c>
      <c r="D4" t="inlineStr">
        <is>
          <t>2025-11-19</t>
        </is>
      </c>
      <c r="E4" t="inlineStr">
        <is>
          <t>Tue</t>
        </is>
      </c>
      <c r="F4" t="inlineStr">
        <is>
          <t>14:00</t>
        </is>
      </c>
      <c r="G4" t="n">
        <v>60</v>
      </c>
      <c r="H4" t="n">
        <v>7</v>
      </c>
      <c r="I4" t="inlineStr">
        <is>
          <t>2025-11-17</t>
        </is>
      </c>
      <c r="J4" t="inlineStr">
        <is>
          <t>🟢 Upcoming</t>
        </is>
      </c>
      <c r="K4" t="inlineStr">
        <is>
          <t>Gear Backend</t>
        </is>
      </c>
    </row>
    <row r="5">
      <c r="A5" t="n">
        <v>5</v>
      </c>
      <c r="B5" t="n">
        <v>2</v>
      </c>
      <c r="C5" t="n">
        <v>1</v>
      </c>
      <c r="D5" t="inlineStr">
        <is>
          <t>2025-11-21</t>
        </is>
      </c>
      <c r="E5" t="inlineStr">
        <is>
          <t>Thu</t>
        </is>
      </c>
      <c r="F5" t="inlineStr">
        <is>
          <t>14:00</t>
        </is>
      </c>
      <c r="G5" t="n">
        <v>60</v>
      </c>
      <c r="H5" t="n">
        <v>7</v>
      </c>
      <c r="I5" t="inlineStr">
        <is>
          <t>2025-11-19</t>
        </is>
      </c>
      <c r="J5" t="inlineStr">
        <is>
          <t>🟢 Upcoming</t>
        </is>
      </c>
      <c r="K5" t="inlineStr">
        <is>
          <t>Gear Frontend</t>
        </is>
      </c>
    </row>
    <row r="6">
      <c r="A6" t="n">
        <v>6</v>
      </c>
      <c r="B6" t="n">
        <v>2</v>
      </c>
      <c r="C6" t="n">
        <v>2</v>
      </c>
      <c r="D6" t="inlineStr">
        <is>
          <t>2025-11-26</t>
        </is>
      </c>
      <c r="E6" t="inlineStr">
        <is>
          <t>Tue</t>
        </is>
      </c>
      <c r="F6" t="inlineStr">
        <is>
          <t>14:00</t>
        </is>
      </c>
      <c r="G6" t="n">
        <v>60</v>
      </c>
      <c r="H6" t="n">
        <v>7</v>
      </c>
      <c r="I6" t="inlineStr">
        <is>
          <t>2025-11-24</t>
        </is>
      </c>
      <c r="J6" t="inlineStr">
        <is>
          <t>🟢 Upcoming</t>
        </is>
      </c>
      <c r="K6" t="inlineStr">
        <is>
          <t>Map &amp; Location</t>
        </is>
      </c>
    </row>
    <row r="7">
      <c r="A7" t="n">
        <v>7</v>
      </c>
      <c r="B7" t="n">
        <v>3</v>
      </c>
      <c r="C7" t="n">
        <v>1</v>
      </c>
      <c r="D7" t="inlineStr">
        <is>
          <t>2025-12-03</t>
        </is>
      </c>
      <c r="E7" t="inlineStr">
        <is>
          <t>Tue</t>
        </is>
      </c>
      <c r="F7" t="inlineStr">
        <is>
          <t>14:00</t>
        </is>
      </c>
      <c r="G7" t="n">
        <v>60</v>
      </c>
      <c r="H7" t="n">
        <v>7</v>
      </c>
      <c r="I7" t="inlineStr">
        <is>
          <t>2025-12-01</t>
        </is>
      </c>
      <c r="J7" t="inlineStr">
        <is>
          <t>🟢 Upcoming</t>
        </is>
      </c>
      <c r="K7" t="inlineStr">
        <is>
          <t>Departure Ops</t>
        </is>
      </c>
    </row>
    <row r="8">
      <c r="A8" t="n">
        <v>8</v>
      </c>
      <c r="B8" t="n">
        <v>3</v>
      </c>
      <c r="C8" t="n">
        <v>1</v>
      </c>
      <c r="D8" t="inlineStr">
        <is>
          <t>2025-12-05</t>
        </is>
      </c>
      <c r="E8" t="inlineStr">
        <is>
          <t>Thu</t>
        </is>
      </c>
      <c r="F8" t="inlineStr">
        <is>
          <t>14:00</t>
        </is>
      </c>
      <c r="G8" t="n">
        <v>60</v>
      </c>
      <c r="H8" t="n">
        <v>7</v>
      </c>
      <c r="I8" t="inlineStr">
        <is>
          <t>2025-12-03</t>
        </is>
      </c>
      <c r="J8" t="inlineStr">
        <is>
          <t>🟢 Upcoming</t>
        </is>
      </c>
      <c r="K8" t="inlineStr">
        <is>
          <t>Catches</t>
        </is>
      </c>
    </row>
    <row r="9">
      <c r="A9" t="n">
        <v>9</v>
      </c>
      <c r="B9" t="n">
        <v>3</v>
      </c>
      <c r="C9" t="n">
        <v>2</v>
      </c>
      <c r="D9" t="inlineStr">
        <is>
          <t>2025-12-10</t>
        </is>
      </c>
      <c r="E9" t="inlineStr">
        <is>
          <t>Tue</t>
        </is>
      </c>
      <c r="F9" t="inlineStr">
        <is>
          <t>14:00</t>
        </is>
      </c>
      <c r="G9" t="n">
        <v>60</v>
      </c>
      <c r="H9" t="n">
        <v>7</v>
      </c>
      <c r="I9" t="inlineStr">
        <is>
          <t>2025-12-08</t>
        </is>
      </c>
      <c r="J9" t="inlineStr">
        <is>
          <t>🟢 Upcoming</t>
        </is>
      </c>
      <c r="K9" t="inlineStr">
        <is>
          <t>Backend</t>
        </is>
      </c>
    </row>
    <row r="10">
      <c r="A10" t="n">
        <v>10</v>
      </c>
      <c r="B10" t="n">
        <v>4</v>
      </c>
      <c r="C10" t="n">
        <v>1</v>
      </c>
      <c r="D10" t="inlineStr">
        <is>
          <t>2025-12-17</t>
        </is>
      </c>
      <c r="E10" t="inlineStr">
        <is>
          <t>Tue</t>
        </is>
      </c>
      <c r="F10" t="inlineStr">
        <is>
          <t>14:00</t>
        </is>
      </c>
      <c r="G10" t="n">
        <v>60</v>
      </c>
      <c r="H10" t="n">
        <v>7</v>
      </c>
      <c r="I10" t="inlineStr">
        <is>
          <t>2025-12-15</t>
        </is>
      </c>
      <c r="J10" t="inlineStr">
        <is>
          <t>🟢 Upcoming</t>
        </is>
      </c>
      <c r="K10" t="inlineStr">
        <is>
          <t>Authentication</t>
        </is>
      </c>
    </row>
    <row r="11">
      <c r="A11" t="n">
        <v>11</v>
      </c>
      <c r="B11" t="n">
        <v>4</v>
      </c>
      <c r="C11" t="n">
        <v>1</v>
      </c>
      <c r="D11" t="inlineStr">
        <is>
          <t>2025-12-19</t>
        </is>
      </c>
      <c r="E11" t="inlineStr">
        <is>
          <t>Thu</t>
        </is>
      </c>
      <c r="F11" t="inlineStr">
        <is>
          <t>14:00</t>
        </is>
      </c>
      <c r="G11" t="n">
        <v>60</v>
      </c>
      <c r="H11" t="n">
        <v>7</v>
      </c>
      <c r="I11" t="inlineStr">
        <is>
          <t>2025-12-17</t>
        </is>
      </c>
      <c r="J11" t="inlineStr">
        <is>
          <t>🟢 Upcoming</t>
        </is>
      </c>
      <c r="K11" t="inlineStr">
        <is>
          <t>Infrastructure</t>
        </is>
      </c>
    </row>
    <row r="12">
      <c r="A12" t="n">
        <v>12</v>
      </c>
      <c r="B12" t="n">
        <v>4</v>
      </c>
      <c r="C12" t="n">
        <v>2</v>
      </c>
      <c r="D12" t="inlineStr">
        <is>
          <t>2025-12-24</t>
        </is>
      </c>
      <c r="E12" t="inlineStr">
        <is>
          <t>Tue</t>
        </is>
      </c>
      <c r="F12" t="inlineStr">
        <is>
          <t>14:00</t>
        </is>
      </c>
      <c r="G12" t="n">
        <v>60</v>
      </c>
      <c r="H12" t="n">
        <v>7</v>
      </c>
      <c r="I12" t="inlineStr">
        <is>
          <t>2025-12-22</t>
        </is>
      </c>
      <c r="J12" t="inlineStr">
        <is>
          <t>🟢 Upcoming</t>
        </is>
      </c>
      <c r="K12" t="inlineStr">
        <is>
          <t>Buffer</t>
        </is>
      </c>
    </row>
    <row r="13">
      <c r="A13" t="n">
        <v>13</v>
      </c>
      <c r="B13" t="n">
        <v>5</v>
      </c>
      <c r="C13" t="n">
        <v>1</v>
      </c>
      <c r="D13" t="inlineStr">
        <is>
          <t>2026-01-07</t>
        </is>
      </c>
      <c r="E13" t="inlineStr">
        <is>
          <t>Tue</t>
        </is>
      </c>
      <c r="F13" t="inlineStr">
        <is>
          <t>14:00</t>
        </is>
      </c>
      <c r="G13" t="n">
        <v>60</v>
      </c>
      <c r="H13" t="n">
        <v>7</v>
      </c>
      <c r="I13" t="inlineStr">
        <is>
          <t>2026-01-05</t>
        </is>
      </c>
      <c r="J13" t="inlineStr">
        <is>
          <t>🟢 Upcoming</t>
        </is>
      </c>
      <c r="K13" t="inlineStr">
        <is>
          <t>Final push</t>
        </is>
      </c>
    </row>
    <row r="14">
      <c r="A14" t="n">
        <v>14</v>
      </c>
      <c r="B14" t="n">
        <v>5</v>
      </c>
      <c r="C14" t="n">
        <v>1</v>
      </c>
      <c r="D14" t="inlineStr">
        <is>
          <t>2026-01-09</t>
        </is>
      </c>
      <c r="E14" t="inlineStr">
        <is>
          <t>Thu</t>
        </is>
      </c>
      <c r="F14" t="inlineStr">
        <is>
          <t>14:00</t>
        </is>
      </c>
      <c r="G14" t="n">
        <v>60</v>
      </c>
      <c r="H14" t="n">
        <v>7</v>
      </c>
      <c r="I14" t="inlineStr">
        <is>
          <t>2026-01-07</t>
        </is>
      </c>
      <c r="J14" t="inlineStr">
        <is>
          <t>🟢 Upcoming</t>
        </is>
      </c>
      <c r="K14" t="inlineStr">
        <is>
          <t>Final push</t>
        </is>
      </c>
    </row>
    <row r="15">
      <c r="A15" t="n">
        <v>15</v>
      </c>
      <c r="B15" t="n">
        <v>5</v>
      </c>
      <c r="C15" t="n">
        <v>2</v>
      </c>
      <c r="D15" t="inlineStr">
        <is>
          <t>2026-01-14</t>
        </is>
      </c>
      <c r="E15" t="inlineStr">
        <is>
          <t>Tue</t>
        </is>
      </c>
      <c r="F15" t="inlineStr">
        <is>
          <t>14:00</t>
        </is>
      </c>
      <c r="G15" t="n">
        <v>60</v>
      </c>
      <c r="H15" t="n">
        <v>7</v>
      </c>
      <c r="I15" t="inlineStr">
        <is>
          <t>2026-01-12</t>
        </is>
      </c>
      <c r="J15" t="inlineStr">
        <is>
          <t>🟢 Upcoming</t>
        </is>
      </c>
      <c r="K15" t="inlineStr">
        <is>
          <t>Completion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2025-11-10T11:32:31Z</dcterms:created>
  <dcterms:modified xsi:type="dcterms:W3CDTF">2025-11-10T11:32:31Z</dcterms:modified>
</cp:coreProperties>
</file>